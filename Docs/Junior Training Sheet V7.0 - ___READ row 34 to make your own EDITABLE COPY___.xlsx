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075FCDD5-25A0-4E1C-BF1D-E5A616B0E7CD}"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<sst xmlns="http://schemas.openxmlformats.org/spreadsheetml/2006/main" count="3597" uniqueCount="1855">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</sst>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1">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1">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9" fillId="19" borderId="0" xfId="1" applyFill="1"/>
    <xf numFmtId="0" fontId="25"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1" fillId="2" borderId="0" xfId="0" applyFont="1" applyFill="1" applyAlignment="1">
      <alignment horizontal="left" vertical="center" wrapText="1"/>
    </xf>
    <xf numFmtId="0" fontId="0" fillId="2" borderId="0" xfId="0" applyFill="1" applyAlignment="1">
      <alignment wrapText="1"/>
    </xf>
    <xf numFmtId="0" fontId="2" fillId="2" borderId="0" xfId="0" applyFont="1" applyFill="1" applyAlignment="1">
      <alignment wrapText="1"/>
    </xf>
    <xf numFmtId="0" fontId="2" fillId="0" borderId="0" xfId="0" applyFont="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2" fillId="2" borderId="1" xfId="0" applyFont="1" applyFill="1" applyBorder="1" applyAlignment="1">
      <alignment wrapText="1"/>
    </xf>
    <xf numFmtId="0" fontId="2" fillId="2" borderId="0" xfId="0" applyFont="1" applyFill="1" applyAlignment="1">
      <alignment horizontal="center" wrapText="1"/>
    </xf>
    <xf numFmtId="0" fontId="8" fillId="2" borderId="0" xfId="0" applyFont="1" applyFill="1" applyAlignment="1">
      <alignment vertical="center"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left" vertical="center"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7" fillId="0" borderId="0" xfId="0" applyFont="1" applyAlignment="1">
      <alignment wrapText="1"/>
    </xf>
    <xf numFmtId="0" fontId="7" fillId="0" borderId="0" xfId="0" applyFont="1" applyAlignment="1">
      <alignment horizontal="left" vertical="center" wrapText="1"/>
    </xf>
    <xf numFmtId="0" fontId="21" fillId="0" borderId="0" xfId="0" applyFont="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vertical="top"/>
    </xf>
    <xf numFmtId="0" fontId="7" fillId="0" borderId="0" xfId="0" applyFont="1"/>
    <xf numFmtId="0" fontId="2" fillId="0" borderId="0" xfId="0" applyFont="1" applyAlignment="1">
      <alignment vertical="top" wrapText="1"/>
    </xf>
    <xf numFmtId="0" fontId="7" fillId="0" borderId="0" xfId="0" applyFont="1" applyAlignment="1">
      <alignment horizontal="left" vertical="center"/>
    </xf>
    <xf numFmtId="0" fontId="7" fillId="0" borderId="0" xfId="0" applyFont="1" applyAlignment="1">
      <alignment horizontal="left"/>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6" t="s">
        <v>0</v>
      </c>
      <c r="B1" s="180" t="s">
        <v>1</v>
      </c>
      <c r="C1" s="180"/>
      <c r="D1" s="180"/>
      <c r="E1" s="180"/>
      <c r="F1" s="180"/>
      <c r="G1" s="180"/>
      <c r="H1" s="180"/>
    </row>
    <row r="2" spans="1:8" ht="12" customHeight="1">
      <c r="A2" s="166"/>
      <c r="B2" s="168" t="s">
        <v>2</v>
      </c>
      <c r="C2" s="168"/>
      <c r="D2" s="168"/>
      <c r="E2" s="168"/>
      <c r="F2" s="168"/>
      <c r="G2" s="168"/>
      <c r="H2" s="168"/>
    </row>
    <row r="3" spans="1:8" ht="12" customHeight="1">
      <c r="A3" s="166"/>
      <c r="B3" s="168" t="s">
        <v>3</v>
      </c>
      <c r="C3" s="168"/>
      <c r="D3" s="7"/>
      <c r="E3" s="10" t="str">
        <f>HYPERLINK("https://goo.gl/unDETI","Latest Version")</f>
        <v>Latest Version</v>
      </c>
      <c r="F3" s="8"/>
      <c r="G3" s="8"/>
      <c r="H3" s="8"/>
    </row>
    <row r="4" spans="1:8" ht="12" customHeight="1">
      <c r="A4" s="166"/>
      <c r="B4" s="168" t="s">
        <v>4</v>
      </c>
      <c r="C4" s="168"/>
      <c r="D4" s="168"/>
      <c r="E4" s="168"/>
      <c r="F4" s="8"/>
      <c r="G4" s="8"/>
      <c r="H4" s="8"/>
    </row>
    <row r="5" spans="1:8" ht="12" customHeight="1">
      <c r="A5" s="166"/>
      <c r="B5" s="180" t="s">
        <v>5</v>
      </c>
      <c r="C5" s="180"/>
      <c r="D5" s="5" t="s">
        <v>6</v>
      </c>
      <c r="E5" s="8"/>
      <c r="F5" s="8"/>
      <c r="G5" s="8"/>
      <c r="H5" s="8"/>
    </row>
    <row r="6" spans="1:8" ht="13">
      <c r="A6" s="166"/>
      <c r="B6" s="9"/>
      <c r="C6" s="9"/>
      <c r="D6" s="9"/>
      <c r="E6" s="9"/>
      <c r="F6" s="9"/>
      <c r="G6" s="9"/>
      <c r="H6" s="8"/>
    </row>
    <row r="7" spans="1:8" ht="12" customHeight="1">
      <c r="A7" s="166"/>
      <c r="B7" s="166" t="s">
        <v>7</v>
      </c>
      <c r="C7" s="166"/>
      <c r="D7" s="166"/>
      <c r="E7" s="166"/>
      <c r="F7" s="9"/>
      <c r="G7" s="9"/>
      <c r="H7" s="8"/>
    </row>
    <row r="8" spans="1:8" ht="17.25" customHeight="1">
      <c r="A8" s="166"/>
      <c r="B8" s="181" t="s">
        <v>8</v>
      </c>
      <c r="C8" s="181"/>
      <c r="D8" s="181"/>
      <c r="E8" s="11"/>
      <c r="F8" s="9"/>
      <c r="G8" s="9"/>
      <c r="H8" s="8"/>
    </row>
    <row r="9" spans="1:8" ht="13">
      <c r="A9" s="166"/>
      <c r="B9" s="182" t="str">
        <f>HYPERLINK("https://www.youtube.com/watch?v=DZ6YTtILCE8","Video Introducing roadmap (Arabic) - to min 18 ONLY")</f>
        <v>Video Introducing roadmap (Arabic) - to min 18 ONLY</v>
      </c>
      <c r="C9" s="182"/>
      <c r="D9" s="182"/>
      <c r="E9" s="11"/>
      <c r="F9" s="9"/>
      <c r="G9" s="9"/>
      <c r="H9" s="8"/>
    </row>
    <row r="10" spans="1:8" ht="12" customHeight="1">
      <c r="A10" s="166"/>
      <c r="B10" s="183" t="s">
        <v>9</v>
      </c>
      <c r="C10" s="183"/>
      <c r="D10" s="183"/>
      <c r="E10" s="11"/>
      <c r="F10" s="9"/>
      <c r="G10" s="9"/>
      <c r="H10" s="8"/>
    </row>
    <row r="11" spans="1:8" ht="12" customHeight="1">
      <c r="A11" s="166"/>
      <c r="B11" s="184" t="s">
        <v>10</v>
      </c>
      <c r="C11" s="184"/>
      <c r="D11" s="184"/>
      <c r="E11" s="184"/>
      <c r="F11" s="184"/>
      <c r="G11" s="184"/>
      <c r="H11" s="8"/>
    </row>
    <row r="12" spans="1:8" ht="13">
      <c r="A12" s="166"/>
      <c r="B12" s="11"/>
      <c r="C12" s="11"/>
      <c r="D12" s="11"/>
      <c r="E12" s="11"/>
      <c r="F12" s="9"/>
      <c r="G12" s="9"/>
      <c r="H12" s="8"/>
    </row>
    <row r="13" spans="1:8" ht="12" customHeight="1">
      <c r="A13" s="166"/>
      <c r="B13" s="184" t="s">
        <v>11</v>
      </c>
      <c r="C13" s="184"/>
      <c r="D13" s="184"/>
      <c r="E13" s="184"/>
      <c r="F13" s="184"/>
      <c r="G13" s="184"/>
      <c r="H13" s="8"/>
    </row>
    <row r="14" spans="1:8" ht="12" customHeight="1">
      <c r="A14" s="166"/>
      <c r="B14" s="180" t="s">
        <v>12</v>
      </c>
      <c r="C14" s="180"/>
      <c r="D14" s="180"/>
      <c r="E14" s="180"/>
      <c r="F14" s="180"/>
      <c r="G14" s="12" t="s">
        <v>13</v>
      </c>
      <c r="H14" s="8"/>
    </row>
    <row r="15" spans="1:8" ht="13">
      <c r="A15" s="13"/>
      <c r="B15" s="4"/>
      <c r="C15" s="4"/>
      <c r="D15" s="4"/>
      <c r="E15" s="4"/>
      <c r="F15" s="4"/>
      <c r="G15" s="4"/>
      <c r="H15" s="4"/>
    </row>
    <row r="16" spans="1:8" ht="12" customHeight="1">
      <c r="A16" s="175" t="s">
        <v>14</v>
      </c>
      <c r="B16" s="168" t="s">
        <v>15</v>
      </c>
      <c r="C16" s="168"/>
      <c r="D16" s="168"/>
      <c r="E16" s="168"/>
      <c r="F16" s="168"/>
      <c r="G16" s="6"/>
      <c r="H16" s="6"/>
    </row>
    <row r="17" spans="1:8" ht="12" customHeight="1">
      <c r="A17" s="175"/>
      <c r="B17" s="169" t="s">
        <v>16</v>
      </c>
      <c r="C17" s="169"/>
      <c r="D17" s="169"/>
      <c r="H17" s="7"/>
    </row>
    <row r="18" spans="1:8">
      <c r="A18" s="175"/>
      <c r="B18" s="176"/>
      <c r="C18" s="176"/>
      <c r="D18" s="176"/>
      <c r="E18" s="176"/>
      <c r="F18" s="176"/>
      <c r="G18" s="176"/>
      <c r="H18" s="7"/>
    </row>
    <row r="19" spans="1:8" ht="13">
      <c r="A19" s="13"/>
      <c r="B19" s="4"/>
      <c r="C19" s="4"/>
      <c r="D19" s="4"/>
      <c r="E19" s="4"/>
      <c r="F19" s="4"/>
      <c r="G19" s="4"/>
      <c r="H19" s="4"/>
    </row>
    <row r="20" spans="1:8" ht="15" customHeight="1">
      <c r="A20" s="177" t="s">
        <v>17</v>
      </c>
      <c r="B20" s="178" t="s">
        <v>18</v>
      </c>
      <c r="C20" s="178"/>
      <c r="D20" s="178"/>
      <c r="E20" s="178"/>
    </row>
    <row r="21" spans="1:8" ht="15" customHeight="1">
      <c r="A21" s="177"/>
      <c r="B21" s="179" t="s">
        <v>19</v>
      </c>
      <c r="C21" s="179"/>
      <c r="D21" s="179"/>
      <c r="E21" s="179"/>
      <c r="F21" s="169" t="s">
        <v>20</v>
      </c>
      <c r="G21" s="169"/>
      <c r="H21" s="169"/>
    </row>
    <row r="22" spans="1:8" ht="15" customHeight="1">
      <c r="A22" s="177"/>
      <c r="B22" s="179" t="s">
        <v>21</v>
      </c>
      <c r="C22" s="179"/>
      <c r="D22" s="179"/>
      <c r="E22" s="179"/>
      <c r="F22" s="2"/>
      <c r="G22" s="4"/>
      <c r="H22" s="4"/>
    </row>
    <row r="23" spans="1:8" ht="15" customHeight="1">
      <c r="A23" s="177"/>
      <c r="B23" s="179" t="s">
        <v>22</v>
      </c>
      <c r="C23" s="179"/>
      <c r="D23" s="179"/>
      <c r="E23" s="179"/>
      <c r="F23" s="4"/>
      <c r="G23" s="4"/>
      <c r="H23" s="4"/>
    </row>
    <row r="24" spans="1:8" ht="15" customHeight="1">
      <c r="A24" s="177"/>
      <c r="B24" s="179" t="s">
        <v>23</v>
      </c>
      <c r="C24" s="179"/>
      <c r="D24" s="179"/>
      <c r="E24" s="179"/>
      <c r="F24" s="14"/>
      <c r="G24" s="14"/>
      <c r="H24" s="14"/>
    </row>
    <row r="25" spans="1:8" ht="15" customHeight="1">
      <c r="A25" s="177"/>
      <c r="B25" s="179" t="s">
        <v>24</v>
      </c>
      <c r="C25" s="179"/>
      <c r="D25" s="179"/>
      <c r="E25" s="179"/>
      <c r="F25" s="4"/>
      <c r="G25" s="4"/>
      <c r="H25" s="4"/>
    </row>
    <row r="26" spans="1:8" ht="13">
      <c r="A26" s="13"/>
      <c r="B26" s="4"/>
      <c r="C26" s="4"/>
      <c r="D26" s="4"/>
      <c r="E26" s="4"/>
      <c r="F26" s="4"/>
      <c r="G26" s="4"/>
      <c r="H26" s="4"/>
    </row>
    <row r="27" spans="1:8" ht="12" customHeight="1">
      <c r="A27" s="15" t="s">
        <v>25</v>
      </c>
      <c r="B27" s="169" t="s">
        <v>26</v>
      </c>
      <c r="C27" s="169"/>
      <c r="D27" s="169"/>
      <c r="E27" s="169"/>
      <c r="F27" s="169"/>
      <c r="G27" s="169"/>
      <c r="H27" s="4"/>
    </row>
    <row r="28" spans="1:8" ht="13">
      <c r="A28" s="13"/>
      <c r="B28" s="4"/>
      <c r="C28" s="4"/>
      <c r="D28" s="4"/>
      <c r="E28" s="4"/>
      <c r="F28" s="4"/>
      <c r="G28" s="4"/>
      <c r="H28" s="4"/>
    </row>
    <row r="29" spans="1:8" ht="12" customHeight="1">
      <c r="A29" s="9" t="s">
        <v>27</v>
      </c>
      <c r="B29" s="168" t="s">
        <v>28</v>
      </c>
      <c r="C29" s="168"/>
      <c r="D29" s="168"/>
      <c r="E29" s="168"/>
      <c r="F29" s="168"/>
      <c r="G29" s="168"/>
      <c r="H29" s="168"/>
    </row>
    <row r="30" spans="1:8" ht="12" customHeight="1">
      <c r="A30" s="9" t="s">
        <v>29</v>
      </c>
      <c r="B30" s="168" t="s">
        <v>30</v>
      </c>
      <c r="C30" s="168"/>
      <c r="D30" s="168"/>
      <c r="E30" s="168"/>
      <c r="F30" s="168"/>
      <c r="G30" s="168"/>
      <c r="H30" s="168"/>
    </row>
    <row r="31" spans="1:8" ht="13">
      <c r="A31" s="9"/>
      <c r="B31" s="7"/>
      <c r="C31" s="7"/>
      <c r="D31" s="7"/>
      <c r="E31" s="7"/>
      <c r="F31" s="7"/>
      <c r="G31" s="7"/>
      <c r="H31" s="7"/>
    </row>
    <row r="32" spans="1:8" ht="24" customHeight="1">
      <c r="A32" s="9" t="s">
        <v>31</v>
      </c>
      <c r="B32" s="168" t="s">
        <v>32</v>
      </c>
      <c r="C32" s="168"/>
      <c r="D32" s="168"/>
      <c r="E32" s="168"/>
      <c r="F32" s="168"/>
      <c r="G32" s="168"/>
      <c r="H32" s="168"/>
    </row>
    <row r="33" spans="1:8" ht="13">
      <c r="A33" s="9"/>
      <c r="B33" s="7"/>
      <c r="C33" s="7"/>
      <c r="D33" s="7"/>
      <c r="E33" s="7"/>
      <c r="F33" s="7"/>
      <c r="G33" s="7"/>
      <c r="H33" s="7"/>
    </row>
    <row r="34" spans="1:8" ht="12" customHeight="1">
      <c r="A34" s="16" t="s">
        <v>33</v>
      </c>
      <c r="B34" s="168" t="s">
        <v>34</v>
      </c>
      <c r="C34" s="168"/>
      <c r="D34" s="168"/>
      <c r="E34" s="168"/>
      <c r="F34" s="168"/>
      <c r="G34" s="168"/>
      <c r="H34" s="168"/>
    </row>
    <row r="35" spans="1:8" ht="12" customHeight="1">
      <c r="A35" s="9" t="s">
        <v>35</v>
      </c>
      <c r="B35" s="168" t="s">
        <v>36</v>
      </c>
      <c r="C35" s="168"/>
      <c r="D35" s="168"/>
      <c r="E35" s="168"/>
      <c r="F35" s="168"/>
      <c r="G35" s="168"/>
      <c r="H35" s="168"/>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68" t="s">
        <v>38</v>
      </c>
      <c r="C38" s="168"/>
      <c r="D38" s="168"/>
      <c r="E38" s="168"/>
      <c r="F38" s="168"/>
      <c r="G38" s="168"/>
      <c r="H38" s="168"/>
    </row>
    <row r="39" spans="1:8" ht="12" customHeight="1">
      <c r="A39" s="9" t="s">
        <v>39</v>
      </c>
      <c r="B39" s="168" t="s">
        <v>40</v>
      </c>
      <c r="C39" s="168"/>
      <c r="D39" s="168"/>
      <c r="E39" s="168"/>
      <c r="F39" s="168"/>
      <c r="G39" s="168"/>
      <c r="H39" s="168"/>
    </row>
    <row r="40" spans="1:8" ht="13">
      <c r="A40" s="18"/>
      <c r="B40" s="7"/>
      <c r="C40" s="7"/>
      <c r="D40" s="7"/>
      <c r="E40" s="7"/>
      <c r="F40" s="7"/>
      <c r="G40" s="7"/>
      <c r="H40" s="7"/>
    </row>
    <row r="41" spans="1:8" ht="12" customHeight="1">
      <c r="A41" s="166" t="s">
        <v>41</v>
      </c>
      <c r="B41" s="168" t="s">
        <v>42</v>
      </c>
      <c r="C41" s="168"/>
      <c r="D41" s="168"/>
      <c r="E41" s="168"/>
      <c r="F41" s="168"/>
      <c r="G41" s="168"/>
      <c r="H41" s="168"/>
    </row>
    <row r="42" spans="1:8" ht="12" customHeight="1">
      <c r="A42" s="166"/>
      <c r="B42" s="168" t="s">
        <v>43</v>
      </c>
      <c r="C42" s="168"/>
      <c r="D42" s="168"/>
      <c r="E42" s="168"/>
      <c r="F42" s="168"/>
      <c r="G42" s="168"/>
      <c r="H42" s="168"/>
    </row>
    <row r="43" spans="1:8" ht="12" customHeight="1">
      <c r="A43" s="166"/>
      <c r="B43" s="168" t="s">
        <v>44</v>
      </c>
      <c r="C43" s="168"/>
      <c r="D43" s="168"/>
      <c r="E43" s="168"/>
      <c r="F43" s="168"/>
      <c r="G43" s="168"/>
      <c r="H43" s="168"/>
    </row>
    <row r="44" spans="1:8" ht="12" customHeight="1">
      <c r="A44" s="166"/>
      <c r="B44" s="168" t="s">
        <v>45</v>
      </c>
      <c r="C44" s="168"/>
      <c r="D44" s="168"/>
      <c r="E44" s="168"/>
      <c r="F44" s="168"/>
      <c r="G44" s="168"/>
      <c r="H44" s="168"/>
    </row>
    <row r="45" spans="1:8" ht="12" customHeight="1">
      <c r="A45" s="166"/>
      <c r="B45" s="168" t="s">
        <v>46</v>
      </c>
      <c r="C45" s="168"/>
      <c r="D45" s="168"/>
      <c r="E45" s="168"/>
      <c r="F45" s="168"/>
      <c r="G45" s="168"/>
      <c r="H45" s="168"/>
    </row>
    <row r="46" spans="1:8" ht="12" customHeight="1">
      <c r="A46" s="166"/>
      <c r="B46" s="168" t="s">
        <v>47</v>
      </c>
      <c r="C46" s="168"/>
      <c r="D46" s="168"/>
      <c r="E46" s="168"/>
      <c r="F46" s="168"/>
      <c r="G46" s="168"/>
      <c r="H46" s="168"/>
    </row>
    <row r="47" spans="1:8" ht="12" customHeight="1">
      <c r="A47" s="166"/>
      <c r="B47" s="168" t="s">
        <v>48</v>
      </c>
      <c r="C47" s="168"/>
      <c r="D47" s="168"/>
      <c r="E47" s="168"/>
      <c r="F47" s="168"/>
      <c r="G47" s="168"/>
      <c r="H47" s="168"/>
    </row>
    <row r="48" spans="1:8" ht="24" customHeight="1">
      <c r="A48" s="166"/>
      <c r="B48" s="6" t="str">
        <f>HYPERLINK("https://uva.onlinejudge.org/index.php?option=com_content&amp;task=view&amp;id=16&amp;Itemid=31","Put problem Status")</f>
        <v>Put problem Status</v>
      </c>
      <c r="C48" s="1" t="s">
        <v>49</v>
      </c>
      <c r="D48" s="1" t="s">
        <v>50</v>
      </c>
      <c r="E48" s="174" t="s">
        <v>51</v>
      </c>
      <c r="F48" s="174"/>
      <c r="G48" s="174"/>
      <c r="H48" s="174"/>
    </row>
    <row r="49" spans="1:8" ht="12" customHeight="1">
      <c r="A49" s="166"/>
      <c r="B49" s="168" t="s">
        <v>52</v>
      </c>
      <c r="C49" s="168"/>
      <c r="D49" s="168"/>
      <c r="E49" s="168"/>
      <c r="F49" s="168"/>
      <c r="G49" s="168"/>
      <c r="H49" s="168"/>
    </row>
    <row r="50" spans="1:8" ht="12" customHeight="1">
      <c r="A50" s="166"/>
      <c r="B50" s="168" t="s">
        <v>53</v>
      </c>
      <c r="C50" s="168"/>
      <c r="D50" s="168"/>
      <c r="E50" s="168"/>
      <c r="F50" s="168"/>
      <c r="G50" s="168"/>
      <c r="H50" s="168"/>
    </row>
    <row r="51" spans="1:8" ht="12" customHeight="1">
      <c r="A51" s="166"/>
      <c r="B51" s="168" t="s">
        <v>54</v>
      </c>
      <c r="C51" s="168"/>
      <c r="D51" s="168"/>
      <c r="E51" s="168"/>
      <c r="F51" s="168"/>
      <c r="G51" s="168"/>
      <c r="H51" s="168"/>
    </row>
    <row r="52" spans="1:8" ht="13">
      <c r="A52" s="18"/>
      <c r="B52" s="7"/>
      <c r="C52" s="7"/>
      <c r="D52" s="7"/>
      <c r="E52" s="7"/>
      <c r="F52" s="7"/>
      <c r="G52" s="7"/>
      <c r="H52" s="7"/>
    </row>
    <row r="53" spans="1:8" ht="12" customHeight="1">
      <c r="A53" s="18" t="s">
        <v>55</v>
      </c>
      <c r="B53" s="168" t="s">
        <v>56</v>
      </c>
      <c r="C53" s="168"/>
      <c r="D53" s="168"/>
      <c r="E53" s="168"/>
      <c r="F53" s="168"/>
      <c r="G53" s="168"/>
      <c r="H53" s="168"/>
    </row>
    <row r="54" spans="1:8" ht="13">
      <c r="A54" s="18"/>
      <c r="B54" s="7"/>
      <c r="C54" s="7"/>
      <c r="D54" s="7"/>
      <c r="E54" s="7"/>
      <c r="F54" s="7"/>
      <c r="G54" s="7"/>
      <c r="H54" s="7"/>
    </row>
    <row r="55" spans="1:8" ht="12" customHeight="1">
      <c r="A55" s="166" t="s">
        <v>57</v>
      </c>
      <c r="B55" s="6" t="str">
        <f>HYPERLINK("http://codeforces.com/contest/136/problem/A","CF136-D2-A")</f>
        <v>CF136-D2-A</v>
      </c>
      <c r="C55" s="168" t="s">
        <v>58</v>
      </c>
      <c r="D55" s="168"/>
      <c r="E55" s="168"/>
      <c r="F55" s="168"/>
      <c r="G55" s="168"/>
      <c r="H55" s="168"/>
    </row>
    <row r="56" spans="1:8" ht="12" customHeight="1">
      <c r="A56" s="166"/>
      <c r="B56" s="7" t="s">
        <v>59</v>
      </c>
      <c r="C56" s="168" t="s">
        <v>60</v>
      </c>
      <c r="D56" s="168"/>
      <c r="E56" s="168"/>
      <c r="F56" s="168"/>
      <c r="G56" s="168"/>
      <c r="H56" s="168"/>
    </row>
    <row r="57" spans="1:8" ht="12" customHeight="1">
      <c r="A57" s="18"/>
      <c r="B57" s="173" t="s">
        <v>61</v>
      </c>
      <c r="C57" s="173"/>
      <c r="D57" s="173"/>
      <c r="E57" s="173"/>
      <c r="F57" s="173"/>
      <c r="G57" s="173"/>
      <c r="H57" s="173"/>
    </row>
    <row r="58" spans="1:8" ht="13">
      <c r="A58" s="18"/>
      <c r="B58" s="7"/>
      <c r="C58" s="7"/>
      <c r="D58" s="7"/>
      <c r="E58" s="7"/>
      <c r="F58" s="7"/>
      <c r="G58" s="7"/>
      <c r="H58" s="7"/>
    </row>
    <row r="59" spans="1:8" ht="12" customHeight="1">
      <c r="A59" s="166" t="s">
        <v>62</v>
      </c>
      <c r="B59" s="19" t="str">
        <f>HYPERLINK("http://codeforces.com/contest/483/problem/A","CF483-D2-A")</f>
        <v>CF483-D2-A</v>
      </c>
      <c r="C59" s="169" t="s">
        <v>63</v>
      </c>
      <c r="D59" s="169"/>
      <c r="E59" s="169"/>
      <c r="F59" s="169"/>
      <c r="G59" s="169"/>
      <c r="H59" s="169"/>
    </row>
    <row r="60" spans="1:8" ht="12" customHeight="1">
      <c r="A60" s="166"/>
      <c r="B60" s="20" t="str">
        <f>HYPERLINK("https://uva.onlinejudge.org/index.php?option=onlinejudge&amp;page=show_problem&amp;problem=1183","UVA 10242")</f>
        <v>UVA 10242</v>
      </c>
      <c r="C60" s="169" t="s">
        <v>64</v>
      </c>
      <c r="D60" s="169"/>
      <c r="E60" s="169"/>
      <c r="F60" s="169"/>
      <c r="G60" s="169"/>
      <c r="H60" s="169"/>
    </row>
    <row r="61" spans="1:8" ht="12" customHeight="1">
      <c r="A61" s="166"/>
      <c r="B61" s="21" t="str">
        <f>HYPERLINK("http://www.spoj.com/problems/CDOWN/","SPOJ CDOWN")</f>
        <v>SPOJ CDOWN</v>
      </c>
      <c r="C61" s="169" t="s">
        <v>65</v>
      </c>
      <c r="D61" s="169"/>
      <c r="E61" s="169"/>
      <c r="F61" s="169"/>
      <c r="G61" s="169"/>
      <c r="H61" s="169"/>
    </row>
    <row r="62" spans="1:8" ht="17.25" customHeight="1">
      <c r="A62" s="166"/>
      <c r="B62" s="22" t="str">
        <f>HYPERLINK("http://codeforces.com/contest/518/problem/B","CF518-D2-B")</f>
        <v>CF518-D2-B</v>
      </c>
      <c r="C62" s="169" t="s">
        <v>66</v>
      </c>
      <c r="D62" s="169"/>
      <c r="E62" s="169"/>
      <c r="F62" s="169"/>
      <c r="G62" s="169"/>
      <c r="H62" s="169"/>
    </row>
    <row r="63" spans="1:8" ht="13">
      <c r="A63" s="18"/>
      <c r="B63" s="4"/>
      <c r="C63" s="4"/>
      <c r="D63" s="4"/>
      <c r="E63" s="4"/>
      <c r="F63" s="4"/>
      <c r="G63" s="4"/>
      <c r="H63" s="4"/>
    </row>
    <row r="64" spans="1:8" ht="12" customHeight="1">
      <c r="A64" s="9" t="s">
        <v>67</v>
      </c>
      <c r="B64" s="169" t="s">
        <v>68</v>
      </c>
      <c r="C64" s="169"/>
      <c r="D64" s="169"/>
      <c r="E64" s="169"/>
      <c r="F64" s="169"/>
      <c r="G64" s="169"/>
      <c r="H64" s="169"/>
    </row>
    <row r="65" spans="1:8" ht="13">
      <c r="A65" s="18"/>
      <c r="B65" s="4"/>
      <c r="C65" s="4"/>
      <c r="D65" s="4"/>
      <c r="E65" s="4"/>
      <c r="F65" s="4"/>
      <c r="G65" s="4"/>
      <c r="H65" s="4"/>
    </row>
    <row r="66" spans="1:8" ht="12" customHeight="1">
      <c r="A66" s="9" t="s">
        <v>69</v>
      </c>
      <c r="B66" s="169" t="s">
        <v>70</v>
      </c>
      <c r="C66" s="169"/>
      <c r="D66" s="169"/>
      <c r="E66" s="169"/>
      <c r="F66" s="169"/>
      <c r="G66" s="169"/>
      <c r="H66" s="169"/>
    </row>
    <row r="67" spans="1:8" ht="13">
      <c r="A67" s="18"/>
      <c r="B67" s="4"/>
      <c r="C67" s="4"/>
      <c r="D67" s="4"/>
      <c r="E67" s="4"/>
      <c r="F67" s="4"/>
      <c r="G67" s="4"/>
      <c r="H67" s="4"/>
    </row>
    <row r="68" spans="1:8" ht="12" customHeight="1">
      <c r="A68" s="166" t="s">
        <v>71</v>
      </c>
      <c r="B68" s="170" t="str">
        <f>HYPERLINK("https://github.com/lnishan/awesome-competitive-programming","Awesome Competitive Programming")</f>
        <v>Awesome Competitive Programming</v>
      </c>
      <c r="C68" s="170"/>
      <c r="D68" s="168" t="s">
        <v>72</v>
      </c>
      <c r="E68" s="168"/>
      <c r="F68" s="168"/>
      <c r="G68" s="168"/>
      <c r="H68" s="168"/>
    </row>
    <row r="69" spans="1:8" ht="12" customHeight="1">
      <c r="A69" s="166"/>
      <c r="B69" s="170" t="str">
        <f>HYPERLINK("https://github.com/AhmadElsagheer/Competitive-programming-library/tree/master/curriculum","Ahmed Elsaghir Trainnig")</f>
        <v>Ahmed Elsaghir Trainnig</v>
      </c>
      <c r="C69" s="170"/>
      <c r="D69" s="168" t="s">
        <v>73</v>
      </c>
      <c r="E69" s="168"/>
      <c r="F69" s="168"/>
      <c r="G69" s="168"/>
      <c r="H69" s="168"/>
    </row>
    <row r="70" spans="1:8" ht="12" customHeight="1">
      <c r="A70" s="166"/>
      <c r="B70" s="170" t="str">
        <f>HYPERLINK("https://a2oj.com/ladders","A2oj Ladders")</f>
        <v>A2oj Ladders</v>
      </c>
      <c r="C70" s="170"/>
      <c r="D70" s="168" t="s">
        <v>74</v>
      </c>
      <c r="E70" s="168"/>
      <c r="F70" s="168"/>
      <c r="G70" s="168"/>
      <c r="H70" s="168"/>
    </row>
    <row r="71" spans="1:8" ht="12" customHeight="1">
      <c r="A71" s="166"/>
      <c r="B71" s="171" t="str">
        <f>HYPERLINK("https://www.youtube.com/watch?v=mUSajNUEWxg&amp;list=PLb7yniFBnvZIdfxYIKqNlGsTf5oZy4dKk","Prgramming Ahmed M sayd")</f>
        <v>Prgramming Ahmed M sayd</v>
      </c>
      <c r="C71" s="171"/>
      <c r="D71" s="168" t="s">
        <v>75</v>
      </c>
      <c r="E71" s="168"/>
      <c r="F71" s="168"/>
      <c r="G71" s="168"/>
      <c r="H71" s="168"/>
    </row>
    <row r="72" spans="1:8" ht="12" customHeight="1">
      <c r="A72" s="166"/>
      <c r="B72" s="172" t="s">
        <v>76</v>
      </c>
      <c r="C72" s="172"/>
      <c r="D72" s="168" t="s">
        <v>75</v>
      </c>
      <c r="E72" s="168"/>
      <c r="F72" s="168"/>
      <c r="G72" s="168"/>
      <c r="H72" s="168"/>
    </row>
    <row r="73" spans="1:8" ht="12" customHeight="1">
      <c r="A73" s="166"/>
      <c r="B73" s="23" t="str">
        <f>HYPERLINK("https://www.youtube.com/playlist?list=PLPt2dINI2MIZi6jW3pFvP9AHDsNi5XlD1","More Resources")</f>
        <v>More Resources</v>
      </c>
      <c r="C73" s="3"/>
      <c r="D73" s="168" t="s">
        <v>77</v>
      </c>
      <c r="E73" s="168"/>
      <c r="F73" s="168"/>
      <c r="G73" s="168"/>
      <c r="H73" s="168"/>
    </row>
    <row r="74" spans="1:8" ht="13">
      <c r="A74" s="18"/>
      <c r="B74" s="7"/>
      <c r="C74" s="7"/>
      <c r="D74" s="7"/>
      <c r="E74" s="7"/>
      <c r="F74" s="7"/>
      <c r="G74" s="7"/>
      <c r="H74" s="7"/>
    </row>
    <row r="75" spans="1:8" ht="12" customHeight="1">
      <c r="A75" s="166" t="s">
        <v>78</v>
      </c>
      <c r="B75" s="167" t="s">
        <v>79</v>
      </c>
      <c r="C75" s="167"/>
      <c r="D75" s="167"/>
      <c r="E75" s="167"/>
      <c r="F75" s="167"/>
      <c r="G75" s="167"/>
      <c r="H75" s="167"/>
    </row>
    <row r="76" spans="1:8" ht="12" customHeight="1">
      <c r="A76" s="166"/>
      <c r="B76" s="167" t="s">
        <v>80</v>
      </c>
      <c r="C76" s="167"/>
      <c r="D76" s="167"/>
      <c r="E76" s="167"/>
      <c r="F76" s="167"/>
      <c r="G76" s="167"/>
      <c r="H76" s="167"/>
    </row>
    <row r="77" spans="1:8" ht="12" customHeight="1">
      <c r="A77" s="166"/>
      <c r="B77" s="168" t="s">
        <v>81</v>
      </c>
      <c r="C77" s="168"/>
      <c r="D77" s="168"/>
      <c r="E77" s="168"/>
      <c r="F77" s="168"/>
      <c r="G77" s="168"/>
      <c r="H77" s="168"/>
    </row>
    <row r="78" spans="1:8" ht="12" customHeight="1">
      <c r="A78" s="166"/>
      <c r="B78" s="168" t="s">
        <v>82</v>
      </c>
      <c r="C78" s="168"/>
      <c r="D78" s="168"/>
      <c r="E78" s="168"/>
      <c r="F78" s="168"/>
      <c r="G78" s="168"/>
      <c r="H78" s="168"/>
    </row>
    <row r="79" spans="1:8">
      <c r="A79" s="166"/>
      <c r="B79" s="7" t="s">
        <v>83</v>
      </c>
      <c r="C79" s="7"/>
      <c r="D79" s="7"/>
      <c r="E79" s="7"/>
      <c r="F79" s="7"/>
      <c r="G79" s="7"/>
      <c r="H79" s="7"/>
    </row>
    <row r="80" spans="1:8" ht="12" customHeight="1">
      <c r="A80" s="166"/>
      <c r="B80" s="168" t="s">
        <v>84</v>
      </c>
      <c r="C80" s="168"/>
      <c r="D80" s="168"/>
      <c r="E80" s="168"/>
      <c r="F80" s="168"/>
      <c r="G80" s="168"/>
      <c r="H80" s="168"/>
    </row>
    <row r="81" spans="1:8" ht="12" customHeight="1">
      <c r="A81" s="166"/>
      <c r="B81" s="168" t="s">
        <v>85</v>
      </c>
      <c r="C81" s="168"/>
      <c r="D81" s="168"/>
      <c r="E81" s="168"/>
      <c r="F81" s="168"/>
      <c r="G81" s="168"/>
      <c r="H81" s="168"/>
    </row>
    <row r="82" spans="1:8" ht="13">
      <c r="A82" s="24"/>
      <c r="B82" s="4"/>
      <c r="C82" s="4"/>
      <c r="D82" s="4"/>
      <c r="E82" s="4"/>
      <c r="F82" s="4"/>
      <c r="G82" s="4"/>
      <c r="H82" s="4"/>
    </row>
    <row r="83" spans="1:8" ht="13">
      <c r="A83" s="24"/>
      <c r="B83" s="4"/>
      <c r="C83" s="4"/>
      <c r="D83" s="4"/>
      <c r="E83" s="4"/>
      <c r="F83" s="4"/>
      <c r="G83" s="4"/>
      <c r="H83" s="4"/>
    </row>
    <row r="84" spans="1:8" ht="12" customHeight="1">
      <c r="A84" s="164" t="s">
        <v>86</v>
      </c>
      <c r="B84" s="164"/>
      <c r="C84" s="164"/>
      <c r="D84" s="164"/>
      <c r="E84" s="164"/>
      <c r="F84" s="164"/>
      <c r="G84" s="164"/>
      <c r="H84" s="164"/>
    </row>
    <row r="85" spans="1:8" ht="12" customHeight="1">
      <c r="A85" s="164" t="s">
        <v>87</v>
      </c>
      <c r="B85" s="164"/>
      <c r="C85" s="164"/>
      <c r="D85" s="164"/>
      <c r="E85" s="164"/>
      <c r="F85" s="164"/>
      <c r="G85" s="164"/>
      <c r="H85" s="164"/>
    </row>
    <row r="86" spans="1:8" ht="12" customHeight="1">
      <c r="A86" s="165" t="s">
        <v>88</v>
      </c>
      <c r="B86" s="165"/>
      <c r="C86" s="165"/>
      <c r="D86" s="165"/>
      <c r="E86" s="165"/>
      <c r="F86" s="165"/>
      <c r="G86" s="165"/>
      <c r="H86" s="165"/>
    </row>
  </sheetData>
  <mergeCells count="79">
    <mergeCell ref="A1:A14"/>
    <mergeCell ref="B1:H1"/>
    <mergeCell ref="B2:H2"/>
    <mergeCell ref="B3:C3"/>
    <mergeCell ref="B4:E4"/>
    <mergeCell ref="B5:C5"/>
    <mergeCell ref="B7:E7"/>
    <mergeCell ref="B8:D8"/>
    <mergeCell ref="B9:D9"/>
    <mergeCell ref="B10:D10"/>
    <mergeCell ref="B11:G11"/>
    <mergeCell ref="B13:G13"/>
    <mergeCell ref="B14:F14"/>
    <mergeCell ref="A16:A18"/>
    <mergeCell ref="B16:F16"/>
    <mergeCell ref="B17:D17"/>
    <mergeCell ref="B18:G18"/>
    <mergeCell ref="A20:A25"/>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53:H53"/>
    <mergeCell ref="A55:A56"/>
    <mergeCell ref="C55:H55"/>
    <mergeCell ref="C56:H56"/>
    <mergeCell ref="B57:H57"/>
    <mergeCell ref="A59:A62"/>
    <mergeCell ref="C59:H59"/>
    <mergeCell ref="C60:H60"/>
    <mergeCell ref="C61:H61"/>
    <mergeCell ref="C62:H62"/>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84:H84"/>
    <mergeCell ref="A85:H85"/>
    <mergeCell ref="A86:H86"/>
    <mergeCell ref="A75:A81"/>
    <mergeCell ref="B75:H75"/>
    <mergeCell ref="B76:H76"/>
    <mergeCell ref="B77:H77"/>
    <mergeCell ref="B78:H78"/>
    <mergeCell ref="B80:H80"/>
    <mergeCell ref="B81:H81"/>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5" t="s">
        <v>275</v>
      </c>
      <c r="E122" s="185"/>
      <c r="F122" s="185"/>
      <c r="G122" s="185"/>
      <c r="H122" s="35"/>
      <c r="I122" s="35">
        <f>SUM(E122:G122)</f>
        <v>0</v>
      </c>
      <c r="J122" s="186" t="s">
        <v>276</v>
      </c>
      <c r="K122" s="186"/>
      <c r="L122" s="186"/>
      <c r="M122" s="186"/>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7" t="s">
        <v>275</v>
      </c>
      <c r="E135" s="187"/>
      <c r="F135" s="187"/>
      <c r="G135" s="187"/>
      <c r="H135" s="63"/>
      <c r="I135" s="63">
        <f>SUM(E135:G135)</f>
        <v>0</v>
      </c>
      <c r="J135" s="186" t="s">
        <v>276</v>
      </c>
      <c r="K135" s="186"/>
      <c r="L135" s="186"/>
      <c r="M135" s="186"/>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7" t="s">
        <v>275</v>
      </c>
      <c r="E150" s="187"/>
      <c r="F150" s="187"/>
      <c r="G150" s="187"/>
      <c r="H150" s="63"/>
      <c r="I150" s="63">
        <f>SUM(E150:G150)</f>
        <v>0</v>
      </c>
      <c r="J150" s="186" t="s">
        <v>276</v>
      </c>
      <c r="K150" s="186"/>
      <c r="L150" s="186"/>
      <c r="M150" s="186"/>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7" t="s">
        <v>275</v>
      </c>
      <c r="E156" s="187"/>
      <c r="F156" s="187"/>
      <c r="G156" s="187"/>
      <c r="H156" s="63"/>
      <c r="I156" s="63">
        <f>SUM(E156:G156)</f>
        <v>0</v>
      </c>
      <c r="J156" s="186" t="s">
        <v>276</v>
      </c>
      <c r="K156" s="186"/>
      <c r="L156" s="186"/>
      <c r="M156" s="186"/>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53" activePane="bottomRight" state="frozen"/>
      <selection pane="topRight" activeCell="C1" sqref="C1"/>
      <selection pane="bottomLeft" activeCell="A39" sqref="A39"/>
      <selection pane="bottomRight" activeCell="A57" sqref="A57:B57"/>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198" t="s">
        <v>1233</v>
      </c>
      <c r="D3" s="198"/>
      <c r="E3" s="198"/>
      <c r="F3" s="198"/>
      <c r="G3" s="198"/>
      <c r="H3" s="198"/>
      <c r="I3" s="198"/>
      <c r="J3" s="198"/>
      <c r="K3" s="198"/>
      <c r="L3" s="198"/>
      <c r="M3" s="198"/>
      <c r="N3" s="25"/>
      <c r="O3" s="25"/>
      <c r="P3" s="65"/>
    </row>
    <row r="4" spans="1:17" ht="12" customHeight="1">
      <c r="A4" s="65"/>
      <c r="B4" s="65"/>
      <c r="C4" s="199" t="s">
        <v>1234</v>
      </c>
      <c r="D4" s="199"/>
      <c r="E4" s="199"/>
      <c r="F4" s="199"/>
      <c r="G4" s="199"/>
      <c r="H4" s="199"/>
      <c r="I4" s="199"/>
      <c r="J4" s="199"/>
      <c r="K4" s="199"/>
      <c r="L4" s="199"/>
      <c r="M4" s="199"/>
      <c r="N4" s="25"/>
      <c r="O4" s="25"/>
      <c r="P4" s="65"/>
    </row>
    <row r="5" spans="1:17" ht="12" customHeight="1">
      <c r="A5" s="65"/>
      <c r="B5" s="65"/>
      <c r="C5" s="199" t="s">
        <v>1235</v>
      </c>
      <c r="D5" s="199"/>
      <c r="E5" s="199"/>
      <c r="F5" s="199"/>
      <c r="G5" s="199"/>
      <c r="H5" s="199"/>
      <c r="I5" s="199"/>
      <c r="J5" s="199"/>
      <c r="K5" s="199"/>
      <c r="L5" s="199"/>
      <c r="M5" s="199"/>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163"/>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62"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157" t="s">
        <v>249</v>
      </c>
      <c r="B51" s="158"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157" t="s">
        <v>245</v>
      </c>
      <c r="B52" s="158"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157" t="s">
        <v>214</v>
      </c>
      <c r="B53" s="158"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157" t="s">
        <v>261</v>
      </c>
      <c r="B54" s="158"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157" t="s">
        <v>227</v>
      </c>
      <c r="B55" s="158"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157" t="s">
        <v>281</v>
      </c>
      <c r="B56" s="158"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157" t="s">
        <v>223</v>
      </c>
      <c r="B57" s="158"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65" t="s">
        <v>268</v>
      </c>
      <c r="B58" s="136"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65" t="s">
        <v>239</v>
      </c>
      <c r="B59" s="136"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65" t="s">
        <v>258</v>
      </c>
      <c r="B60" s="136"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65" t="s">
        <v>212</v>
      </c>
      <c r="B61" s="136"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65" t="s">
        <v>279</v>
      </c>
      <c r="B62" s="136"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65" t="s">
        <v>263</v>
      </c>
      <c r="B63" s="136"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200" t="s">
        <v>1791</v>
      </c>
      <c r="H903" s="200"/>
      <c r="I903" s="200"/>
      <c r="J903" s="200"/>
      <c r="K903" s="200" t="s">
        <v>1792</v>
      </c>
      <c r="L903" s="200"/>
      <c r="M903" s="200" t="s">
        <v>185</v>
      </c>
      <c r="N903" s="200"/>
      <c r="O903" s="4"/>
      <c r="P903" s="110"/>
      <c r="Q903" s="4"/>
    </row>
    <row r="904" spans="1:17" ht="12" customHeight="1">
      <c r="A904" s="195" t="s">
        <v>1793</v>
      </c>
      <c r="B904" s="195"/>
      <c r="C904" s="4"/>
      <c r="D904" s="4"/>
      <c r="E904" s="4"/>
      <c r="F904" s="4"/>
      <c r="G904" s="148"/>
      <c r="H904" s="25"/>
      <c r="I904" s="25"/>
      <c r="K904" s="25">
        <v>1</v>
      </c>
      <c r="L904" s="25"/>
      <c r="M904" s="196" t="str">
        <f>HYPERLINK("https://www.youtube.com/watch?v=fd0Ebfa_mJ0","Watch - Approaching Problem Statement ")</f>
        <v xml:space="preserve">Watch - Approaching Problem Statement </v>
      </c>
      <c r="N904" s="196"/>
      <c r="O904" s="149"/>
      <c r="P904" s="110"/>
      <c r="Q904" s="4"/>
    </row>
    <row r="905" spans="1:17" ht="13">
      <c r="A905" s="195"/>
      <c r="B905" s="195"/>
      <c r="C905" s="4"/>
      <c r="D905" s="4"/>
      <c r="E905" s="4"/>
      <c r="F905" s="4"/>
      <c r="G905" s="150"/>
      <c r="H905" s="25"/>
      <c r="I905" s="25"/>
      <c r="K905" s="25">
        <v>2</v>
      </c>
      <c r="L905" s="25"/>
      <c r="M905" s="196" t="str">
        <f>HYPERLINK("https://www.youtube.com/watch?v=olcmPKZNqnM","Watch - Thinking - On papers Not on PC ")</f>
        <v xml:space="preserve">Watch - Thinking - On papers Not on PC </v>
      </c>
      <c r="N905" s="196"/>
      <c r="O905" s="149"/>
      <c r="P905" s="15"/>
    </row>
    <row r="906" spans="1:17" ht="13">
      <c r="A906" s="195"/>
      <c r="B906" s="195"/>
      <c r="C906" s="4"/>
      <c r="D906" s="4"/>
      <c r="E906" s="4"/>
      <c r="F906" s="4"/>
      <c r="G906" s="148"/>
      <c r="H906" s="25"/>
      <c r="I906" s="25"/>
      <c r="K906" s="25">
        <v>3</v>
      </c>
      <c r="L906" s="25"/>
      <c r="M906" s="196" t="str">
        <f>HYPERLINK("https://www.youtube.com/watch?v=EQzmtn4PzYQ","Watch - Measuring Algorithms Perfromance - 1")</f>
        <v>Watch - Measuring Algorithms Perfromance - 1</v>
      </c>
      <c r="N906" s="196"/>
      <c r="O906" s="149"/>
      <c r="P906" s="125"/>
    </row>
    <row r="907" spans="1:17" ht="13">
      <c r="A907" s="195"/>
      <c r="B907" s="195"/>
      <c r="C907" s="4"/>
      <c r="D907" s="4"/>
      <c r="E907" s="4"/>
      <c r="F907" s="4"/>
      <c r="G907" s="148"/>
      <c r="H907" s="25"/>
      <c r="I907" s="25"/>
      <c r="K907" s="25">
        <v>4</v>
      </c>
      <c r="L907" s="25"/>
      <c r="M907" s="194" t="str">
        <f>HYPERLINK("https://www.youtube.com/watch?v=Syx2qDjj7TE","Watch - Elementary Math - Introduction")</f>
        <v>Watch - Elementary Math - Introduction</v>
      </c>
      <c r="N907" s="194"/>
      <c r="O907" s="125"/>
      <c r="P907" s="125"/>
    </row>
    <row r="908" spans="1:17" ht="13">
      <c r="A908" s="195"/>
      <c r="B908" s="195"/>
      <c r="C908" s="4"/>
      <c r="D908" s="4"/>
      <c r="E908" s="4"/>
      <c r="F908" s="4"/>
      <c r="G908" s="148">
        <v>109</v>
      </c>
      <c r="H908" s="25"/>
      <c r="I908" s="25"/>
      <c r="K908" s="25">
        <v>5</v>
      </c>
      <c r="L908" s="25"/>
      <c r="M908" s="197" t="str">
        <f>HYPERLINK("https://www.youtube.com/watch?v=9sqvjnvuLtY","Watch - Number Theory - Modular Arithmatic")</f>
        <v>Watch - Number Theory - Modular Arithmatic</v>
      </c>
      <c r="N908" s="197"/>
      <c r="O908" s="142"/>
      <c r="P908" s="142"/>
    </row>
    <row r="909" spans="1:17" ht="13">
      <c r="A909" s="195"/>
      <c r="B909" s="195"/>
      <c r="C909" s="4"/>
      <c r="D909" s="4"/>
      <c r="E909" s="4"/>
      <c r="F909" s="4"/>
      <c r="G909" s="148" t="s">
        <v>1794</v>
      </c>
      <c r="H909" s="25"/>
      <c r="I909" s="25"/>
      <c r="K909" s="25">
        <v>6</v>
      </c>
      <c r="L909" s="25"/>
      <c r="M909" s="197" t="str">
        <f>HYPERLINK("https://www.youtube.com/watch?v=sr6WgCLcgVM","Watch - Combinatorics - Counting Principles")</f>
        <v>Watch - Combinatorics - Counting Principles</v>
      </c>
      <c r="N909" s="197"/>
      <c r="O909" s="15"/>
      <c r="P909" s="15"/>
    </row>
    <row r="910" spans="1:17" ht="13">
      <c r="A910" s="195"/>
      <c r="B910" s="195"/>
      <c r="C910" s="4"/>
      <c r="D910" s="4"/>
      <c r="E910" s="4"/>
      <c r="F910" s="4"/>
      <c r="G910" s="150"/>
      <c r="H910" s="25"/>
      <c r="I910" s="25"/>
      <c r="K910" s="25">
        <v>7</v>
      </c>
      <c r="L910" s="25"/>
      <c r="M910" s="197" t="str">
        <f>HYPERLINK("https://www.youtube.com/watch?v=jzfcfQVBtKA","Watch - Graph Theory - Intro")</f>
        <v>Watch - Graph Theory - Intro</v>
      </c>
      <c r="N910" s="197"/>
      <c r="O910" s="125"/>
      <c r="P910" s="125"/>
    </row>
    <row r="911" spans="1:17" ht="13">
      <c r="A911" s="195"/>
      <c r="B911" s="195"/>
      <c r="C911" s="4"/>
      <c r="D911" s="4"/>
      <c r="E911" s="4"/>
      <c r="F911" s="4"/>
      <c r="G911" s="150" t="s">
        <v>1795</v>
      </c>
      <c r="H911" s="25"/>
      <c r="I911" s="25"/>
      <c r="K911" s="25">
        <v>8</v>
      </c>
      <c r="L911" s="25"/>
      <c r="M911" s="197" t="str">
        <f>HYPERLINK("https://www.youtube.com/watch?v=9DP0X2xlPCo","Watch - Graph Theory - DFS")</f>
        <v>Watch - Graph Theory - DFS</v>
      </c>
      <c r="N911" s="197"/>
      <c r="O911" s="125"/>
      <c r="P911" s="125"/>
    </row>
    <row r="912" spans="1:17" ht="13">
      <c r="A912" s="195"/>
      <c r="B912" s="195"/>
      <c r="C912" s="4"/>
      <c r="D912" s="4"/>
      <c r="E912" s="4"/>
      <c r="F912" s="4"/>
      <c r="G912" s="150">
        <v>45</v>
      </c>
      <c r="H912" s="25"/>
      <c r="I912" s="25"/>
      <c r="K912" s="25">
        <v>9</v>
      </c>
      <c r="L912" s="25"/>
      <c r="M912" s="196" t="str">
        <f>HYPERLINK("https://www.youtube.com/watch?v=XhVmgLXYvuQ","Watch - Computational Geometry - Intro")</f>
        <v>Watch - Computational Geometry - Intro</v>
      </c>
      <c r="N912" s="196"/>
      <c r="O912" s="15"/>
      <c r="P912" s="15"/>
    </row>
    <row r="913" spans="1:17" ht="13">
      <c r="A913" s="195"/>
      <c r="B913" s="195"/>
      <c r="C913" s="4"/>
      <c r="D913" s="4"/>
      <c r="E913" s="4"/>
      <c r="F913" s="4"/>
      <c r="G913" s="150">
        <v>45</v>
      </c>
      <c r="H913" s="25"/>
      <c r="I913" s="25"/>
      <c r="K913" s="25">
        <v>10</v>
      </c>
      <c r="L913" s="25"/>
      <c r="M913" s="196" t="str">
        <f>HYPERLINK("https://www.youtube.com/watch?v=2CUN12WrNr4","Watch - Computational Geometry - Point and Vector")</f>
        <v>Watch - Computational Geometry - Point and Vector</v>
      </c>
      <c r="N913" s="196"/>
      <c r="O913" s="149"/>
      <c r="P913" s="110"/>
      <c r="Q913" s="4"/>
    </row>
    <row r="914" spans="1:17" ht="13">
      <c r="A914" s="195"/>
      <c r="B914" s="195"/>
      <c r="C914" s="4"/>
      <c r="D914" s="4"/>
      <c r="E914" s="4"/>
      <c r="F914" s="4"/>
      <c r="G914" s="148">
        <v>6</v>
      </c>
      <c r="H914" s="25"/>
      <c r="I914" s="25"/>
      <c r="K914" s="25">
        <v>11</v>
      </c>
      <c r="L914" s="25"/>
      <c r="M914" s="196" t="str">
        <f>HYPERLINK("https://www.youtube.com/watch?v=2G7RzlxTNPo","Watch - Search Techniques - Binary Search")</f>
        <v>Watch - Search Techniques - Binary Search</v>
      </c>
      <c r="N914" s="196"/>
      <c r="O914" s="14"/>
      <c r="P914" s="4"/>
      <c r="Q914" s="4"/>
    </row>
    <row r="915" spans="1:17" ht="13">
      <c r="A915" s="195"/>
      <c r="B915" s="195"/>
      <c r="C915" s="4"/>
      <c r="D915" s="4"/>
      <c r="E915" s="4"/>
      <c r="F915" s="4"/>
      <c r="G915" s="148"/>
      <c r="H915" s="25"/>
      <c r="I915" s="25"/>
      <c r="K915" s="25">
        <v>12</v>
      </c>
      <c r="L915" s="25"/>
      <c r="M915" s="192" t="str">
        <f>HYPERLINK("https://www.youtube.com/watch?v=x1rCxxKfFbM","Watch - Thinking - Problem Simplification ")</f>
        <v xml:space="preserve">Watch - Thinking - Problem Simplification </v>
      </c>
      <c r="N915" s="192"/>
      <c r="O915" s="14"/>
      <c r="P915" s="4"/>
      <c r="Q915" s="4"/>
    </row>
    <row r="916" spans="1:17" ht="13">
      <c r="A916" s="195"/>
      <c r="B916" s="195"/>
      <c r="C916" s="4"/>
      <c r="D916" s="4"/>
      <c r="E916" s="4"/>
      <c r="F916" s="4"/>
      <c r="G916" s="150"/>
      <c r="H916" s="25"/>
      <c r="I916" s="25"/>
      <c r="K916" s="25">
        <v>13</v>
      </c>
      <c r="L916" s="25"/>
      <c r="M916" s="192" t="str">
        <f>HYPERLINK("https://www.youtube.com/watch?v=7z1498LTCgg","Watch - Thinking - Brainstorm - Rank - Approach ")</f>
        <v xml:space="preserve">Watch - Thinking - Brainstorm - Rank - Approach </v>
      </c>
      <c r="N916" s="192"/>
      <c r="O916" s="15"/>
      <c r="P916" s="15"/>
    </row>
    <row r="917" spans="1:17" ht="13">
      <c r="A917" s="195"/>
      <c r="B917" s="195"/>
      <c r="C917" s="4"/>
      <c r="D917" s="4"/>
      <c r="E917" s="4"/>
      <c r="F917" s="4"/>
      <c r="G917" s="150"/>
      <c r="H917" s="25"/>
      <c r="I917" s="25"/>
      <c r="K917" s="25">
        <v>14</v>
      </c>
      <c r="L917" s="25"/>
      <c r="M917" s="192" t="str">
        <f>HYPERLINK("https://www.youtube.com/watch?v=KAS83uXf_8s&amp;list=PLPt2dINI2MIZPFq6HyUB1Uhxdh1UDnZMS","Study STL")</f>
        <v>Study STL</v>
      </c>
      <c r="N917" s="192"/>
      <c r="O917" s="15"/>
      <c r="P917" s="15"/>
    </row>
    <row r="918" spans="1:17" ht="13">
      <c r="A918" s="195"/>
      <c r="B918" s="195"/>
      <c r="C918" s="4"/>
      <c r="D918" s="4"/>
      <c r="E918" s="4"/>
      <c r="F918" s="4"/>
      <c r="G918" s="148" t="s">
        <v>1794</v>
      </c>
      <c r="H918" s="25"/>
      <c r="I918" s="25"/>
      <c r="K918" s="25">
        <v>15</v>
      </c>
      <c r="L918" s="25"/>
      <c r="M918" s="192" t="str">
        <f>HYPERLINK("https://www.youtube.com/watch?v=9wvqNeX_JnI","Watch - Combinatorics - Permutations and Combinations - 1")</f>
        <v>Watch - Combinatorics - Permutations and Combinations - 1</v>
      </c>
      <c r="N918" s="192"/>
      <c r="O918" s="125"/>
      <c r="P918" s="125"/>
    </row>
    <row r="919" spans="1:17" ht="13">
      <c r="A919" s="195"/>
      <c r="B919" s="195"/>
      <c r="C919" s="4"/>
      <c r="D919" s="4"/>
      <c r="E919" s="4"/>
      <c r="F919" s="4"/>
      <c r="G919" s="148" t="s">
        <v>1794</v>
      </c>
      <c r="H919" s="25"/>
      <c r="I919" s="25"/>
      <c r="K919" s="25">
        <v>16</v>
      </c>
      <c r="L919" s="25"/>
      <c r="M919" s="192" t="str">
        <f>HYPERLINK("https://www.youtube.com/watch?v=8V_xhaPpjmM","Watch - Combinatorics - Permutations and Combinations - 2")</f>
        <v>Watch - Combinatorics - Permutations and Combinations - 2</v>
      </c>
      <c r="N919" s="192"/>
      <c r="O919" s="96"/>
      <c r="P919" s="96"/>
    </row>
    <row r="920" spans="1:17" ht="13">
      <c r="A920" s="195"/>
      <c r="B920" s="195"/>
      <c r="C920" s="4"/>
      <c r="D920" s="4"/>
      <c r="E920" s="4"/>
      <c r="F920" s="4"/>
      <c r="G920" s="150"/>
      <c r="H920" s="25"/>
      <c r="I920" s="25"/>
      <c r="K920" s="25">
        <v>17</v>
      </c>
      <c r="L920" s="25"/>
      <c r="M920" s="192" t="str">
        <f>HYPERLINK("https://www.youtube.com/watch?v=tKGztXjnnuA","Watch - Training-Secrets of Success")</f>
        <v>Watch - Training-Secrets of Success</v>
      </c>
      <c r="N920" s="192"/>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2" t="str">
        <f>HYPERLINK("https://www.youtube.com/watch?v=YklnFXpq0ZE","Watch - Number Theory - Fib, GCD, LCM, Pow")</f>
        <v>Watch - Number Theory - Fib, GCD, LCM, Pow</v>
      </c>
      <c r="N922" s="192"/>
      <c r="O922" s="96"/>
      <c r="P922" s="96"/>
    </row>
    <row r="923" spans="1:17" ht="13">
      <c r="A923" s="4"/>
      <c r="B923" s="4"/>
      <c r="C923" s="4"/>
      <c r="D923" s="4"/>
      <c r="E923" s="4"/>
      <c r="F923" s="4"/>
      <c r="G923" s="148"/>
      <c r="H923" s="25"/>
      <c r="I923" s="25"/>
      <c r="K923" s="25">
        <v>20</v>
      </c>
      <c r="L923" s="25"/>
      <c r="M923" s="190" t="str">
        <f>HYPERLINK("https://www.youtube.com/watch?v=hqOqr6vFPp8","Watch - Prefix Sum")</f>
        <v>Watch - Prefix Sum</v>
      </c>
      <c r="N923" s="190"/>
      <c r="O923" s="96"/>
      <c r="P923" s="154"/>
      <c r="Q923" s="4"/>
    </row>
    <row r="924" spans="1:17" ht="13">
      <c r="A924" s="65"/>
      <c r="B924" s="65"/>
      <c r="C924" s="4"/>
      <c r="D924" s="4"/>
      <c r="E924" s="4"/>
      <c r="F924" s="4"/>
      <c r="G924" s="150">
        <v>57</v>
      </c>
      <c r="H924" s="25"/>
      <c r="I924" s="25"/>
      <c r="K924" s="25">
        <v>21</v>
      </c>
      <c r="L924" s="25"/>
      <c r="M924" s="192" t="str">
        <f>HYPERLINK("https://www.youtube.com/watch?v=COB1GHq0YwY","Watch - Graph Theory - BFS")</f>
        <v>Watch - Graph Theory - BFS</v>
      </c>
      <c r="N924" s="192"/>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2" t="str">
        <f>HYPERLINK("https://www.youtube.com/watch?v=gFdP6X4CyKU","Watch - DP - intro 1")</f>
        <v>Watch - DP - intro 1</v>
      </c>
      <c r="N926" s="192"/>
      <c r="O926" s="96"/>
      <c r="P926" s="96"/>
    </row>
    <row r="927" spans="1:17" ht="13">
      <c r="A927" s="65"/>
      <c r="B927" s="65"/>
      <c r="C927" s="4"/>
      <c r="D927" s="4"/>
      <c r="E927" s="4"/>
      <c r="F927" s="4"/>
      <c r="G927" s="150">
        <v>10</v>
      </c>
      <c r="H927" s="25"/>
      <c r="I927" s="25"/>
      <c r="K927" s="25">
        <v>24</v>
      </c>
      <c r="L927" s="25"/>
      <c r="M927" s="192" t="str">
        <f>HYPERLINK("https://www.youtube.com/watch?v=1j3srLj-C5Q","Watch - DP - intro 2")</f>
        <v>Watch - DP - intro 2</v>
      </c>
      <c r="N927" s="192"/>
      <c r="O927" s="96"/>
      <c r="P927" s="96"/>
    </row>
    <row r="928" spans="1:17" ht="13">
      <c r="A928" s="65"/>
      <c r="B928" s="65"/>
      <c r="C928" s="4"/>
      <c r="D928" s="4"/>
      <c r="E928" s="4"/>
      <c r="F928" s="4"/>
      <c r="G928" s="150">
        <v>45</v>
      </c>
      <c r="H928" s="25"/>
      <c r="I928" s="25"/>
      <c r="K928" s="25">
        <v>25</v>
      </c>
      <c r="L928" s="25"/>
      <c r="M928" s="192" t="str">
        <f>HYPERLINK("https://www.youtube.com/watch?v=dcMtSmWHLP4","Watch - Computational Geometry - Complex Number and 2D Point")</f>
        <v>Watch - Computational Geometry - Complex Number and 2D Point</v>
      </c>
      <c r="N928" s="192"/>
      <c r="O928" s="96"/>
      <c r="P928" s="96"/>
    </row>
    <row r="929" spans="1:16" ht="13">
      <c r="A929" s="65"/>
      <c r="B929" s="65"/>
      <c r="C929" s="4"/>
      <c r="D929" s="4"/>
      <c r="E929" s="4"/>
      <c r="F929" s="4"/>
      <c r="G929" s="150">
        <v>48</v>
      </c>
      <c r="H929" s="25"/>
      <c r="I929" s="25"/>
      <c r="K929" s="25">
        <v>26</v>
      </c>
      <c r="L929" s="25"/>
      <c r="M929" s="192" t="str">
        <f>HYPERLINK("https://www.youtube.com/watch?v=1Vi2h7dKdEQ","Watch - Computational Geometry - Lines and Distances")</f>
        <v>Watch - Computational Geometry - Lines and Distances</v>
      </c>
      <c r="N929" s="192"/>
      <c r="O929" s="96"/>
      <c r="P929" s="96"/>
    </row>
    <row r="930" spans="1:16" ht="13">
      <c r="A930" s="65"/>
      <c r="B930" s="65"/>
      <c r="C930" s="4"/>
      <c r="D930" s="4"/>
      <c r="E930" s="4"/>
      <c r="F930" s="4"/>
      <c r="G930" s="150"/>
      <c r="H930" s="25"/>
      <c r="I930" s="25"/>
      <c r="K930" s="25">
        <v>27</v>
      </c>
      <c r="L930" s="25"/>
      <c r="M930" s="194" t="str">
        <f>HYPERLINK("https://www.youtube.com/watch?v=WTr12dK2Se0","Watch - Focused and Diffused Thinking")</f>
        <v>Watch - Focused and Diffused Thinking</v>
      </c>
      <c r="N930" s="194"/>
      <c r="O930" s="96"/>
      <c r="P930" s="46"/>
    </row>
    <row r="931" spans="1:16" ht="13">
      <c r="A931" s="65"/>
      <c r="B931" s="65"/>
      <c r="C931" s="4"/>
      <c r="D931" s="4"/>
      <c r="E931" s="4"/>
      <c r="F931" s="4"/>
      <c r="G931" s="150" t="s">
        <v>1797</v>
      </c>
      <c r="H931" s="25"/>
      <c r="I931" s="25"/>
      <c r="K931" s="25">
        <v>28</v>
      </c>
      <c r="L931" s="25"/>
      <c r="M931" s="192" t="str">
        <f>HYPERLINK("https://www.youtube.com/watch?v=HQ5ANfzSDn0","Watch - Graph Theory - MST - Kruskal")</f>
        <v>Watch - Graph Theory - MST - Kruskal</v>
      </c>
      <c r="N931" s="192"/>
      <c r="O931" s="96"/>
      <c r="P931" s="96"/>
    </row>
    <row r="932" spans="1:16" ht="13">
      <c r="A932" s="65"/>
      <c r="B932" s="65"/>
      <c r="C932" s="4"/>
      <c r="D932" s="4"/>
      <c r="E932" s="4"/>
      <c r="F932" s="4"/>
      <c r="G932" s="150">
        <v>84</v>
      </c>
      <c r="H932" s="25"/>
      <c r="I932" s="25"/>
      <c r="K932" s="25">
        <v>29</v>
      </c>
      <c r="L932" s="25"/>
      <c r="M932" s="193" t="str">
        <f>HYPERLINK("https://www.youtube.com/watch?v=iXxP_liQklk","Watch - Intro to Greedy")</f>
        <v>Watch - Intro to Greedy</v>
      </c>
      <c r="N932" s="193"/>
      <c r="O932" s="96"/>
      <c r="P932" s="96"/>
    </row>
    <row r="933" spans="1:16" ht="13">
      <c r="A933" s="65"/>
      <c r="B933" s="65"/>
      <c r="C933" s="4"/>
      <c r="D933" s="4"/>
      <c r="E933" s="4"/>
      <c r="F933" s="4"/>
      <c r="G933" s="150"/>
      <c r="H933" s="25"/>
      <c r="I933" s="25"/>
      <c r="K933" s="25">
        <v>30</v>
      </c>
      <c r="L933" s="25"/>
      <c r="M933" s="192" t="str">
        <f>HYPERLINK("https://www.youtube.com/watch?v=Tm_Vlkv4mOo","Watch - Thinking - Concretely - Symbolically - Pictorially ")</f>
        <v xml:space="preserve">Watch - Thinking - Concretely - Symbolically - Pictorially </v>
      </c>
      <c r="N933" s="192"/>
      <c r="O933" s="96"/>
      <c r="P933" s="46"/>
    </row>
    <row r="934" spans="1:16" ht="13">
      <c r="A934" s="65"/>
      <c r="B934" s="65"/>
      <c r="C934" s="4"/>
      <c r="D934" s="4"/>
      <c r="E934" s="4"/>
      <c r="F934" s="4"/>
      <c r="G934" s="150"/>
      <c r="H934" s="25"/>
      <c r="I934" s="25"/>
      <c r="K934" s="25">
        <v>31</v>
      </c>
      <c r="L934" s="25"/>
      <c r="M934" s="192" t="str">
        <f>HYPERLINK("https://www.youtube.com/watch?v=6Fx8T_NBA7Q","Watch - Thinking - Problem Constraints ")</f>
        <v xml:space="preserve">Watch - Thinking - Problem Constraints </v>
      </c>
      <c r="N934" s="192"/>
      <c r="O934" s="96"/>
      <c r="P934" s="15"/>
    </row>
    <row r="935" spans="1:16" ht="13">
      <c r="A935" s="65"/>
      <c r="B935" s="65"/>
      <c r="C935" s="4"/>
      <c r="D935" s="4"/>
      <c r="E935" s="4"/>
      <c r="F935" s="4"/>
      <c r="G935" s="150">
        <v>117</v>
      </c>
      <c r="H935" s="25"/>
      <c r="I935" s="25"/>
      <c r="K935" s="25">
        <v>32</v>
      </c>
      <c r="L935" s="25"/>
      <c r="M935" s="192" t="str">
        <f>HYPERLINK("https://www.youtube.com/watch?v=VZBfW08ECgA","Watch - Number Theory - Primes")</f>
        <v>Watch - Number Theory - Primes</v>
      </c>
      <c r="N935" s="192"/>
      <c r="O935" s="96"/>
      <c r="P935" s="96"/>
    </row>
    <row r="936" spans="1:16" ht="13">
      <c r="A936" s="65"/>
      <c r="B936" s="65"/>
      <c r="C936" s="4"/>
      <c r="D936" s="4"/>
      <c r="E936" s="4"/>
      <c r="F936" s="4"/>
      <c r="G936" s="150"/>
      <c r="H936" s="25"/>
      <c r="I936" s="25"/>
      <c r="K936" s="25">
        <v>33</v>
      </c>
      <c r="L936" s="25"/>
      <c r="M936" s="192" t="str">
        <f>HYPERLINK("https://www.youtube.com/watch?v=jxvaNAthWRI","Watch - Algebra - Number Bases and Polynomials")</f>
        <v>Watch - Algebra - Number Bases and Polynomials</v>
      </c>
      <c r="N936" s="192"/>
      <c r="O936" s="96"/>
      <c r="P936" s="96"/>
    </row>
    <row r="937" spans="1:16" ht="13">
      <c r="A937" s="65"/>
      <c r="B937" s="65"/>
      <c r="C937" s="4"/>
      <c r="D937" s="4"/>
      <c r="E937" s="4"/>
      <c r="F937" s="4"/>
      <c r="G937" s="150"/>
      <c r="H937" s="25"/>
      <c r="I937" s="25"/>
      <c r="K937" s="25">
        <v>34</v>
      </c>
      <c r="L937" s="25"/>
      <c r="M937" s="192" t="str">
        <f>HYPERLINK("https://www.youtube.com/watch?v=O2SPaQXYHFc","Watch - Algebra - Patterns in Sequences")</f>
        <v>Watch - Algebra - Patterns in Sequences</v>
      </c>
      <c r="N937" s="192"/>
      <c r="O937" s="96"/>
      <c r="P937" s="96"/>
    </row>
    <row r="938" spans="1:16" ht="13">
      <c r="A938" s="65"/>
      <c r="B938" s="65"/>
      <c r="C938" s="4"/>
      <c r="D938" s="4"/>
      <c r="E938" s="4"/>
      <c r="F938" s="4"/>
      <c r="G938" s="150">
        <v>118</v>
      </c>
      <c r="H938" s="25"/>
      <c r="I938" s="25"/>
      <c r="K938" s="25">
        <v>35</v>
      </c>
      <c r="L938" s="25"/>
      <c r="M938" s="192" t="str">
        <f>HYPERLINK("https://www.youtube.com/watch?v=xY8To84R87Y","Watch - Algebra - Summations")</f>
        <v>Watch - Algebra - Summations</v>
      </c>
      <c r="N938" s="192"/>
      <c r="O938" s="96"/>
      <c r="P938" s="96"/>
    </row>
    <row r="939" spans="1:16" ht="13">
      <c r="A939" s="65"/>
      <c r="B939" s="65"/>
      <c r="C939" s="4"/>
      <c r="D939" s="4"/>
      <c r="E939" s="4"/>
      <c r="F939" s="4"/>
      <c r="G939" s="150"/>
      <c r="H939" s="25"/>
      <c r="I939" s="25"/>
      <c r="K939" s="25">
        <v>36</v>
      </c>
      <c r="L939" s="25"/>
      <c r="M939" s="192" t="str">
        <f>HYPERLINK("https://www.youtube.com/watch?v=OcqD14kI3Wk","Watch - Algebra - Basic Matrix Operations")</f>
        <v>Watch - Algebra - Basic Matrix Operations</v>
      </c>
      <c r="N939" s="192"/>
      <c r="O939" s="96"/>
      <c r="P939" s="96"/>
    </row>
    <row r="940" spans="1:16" ht="13">
      <c r="A940" s="65"/>
      <c r="B940" s="65"/>
      <c r="C940" s="4"/>
      <c r="D940" s="4"/>
      <c r="E940" s="4"/>
      <c r="F940" s="4"/>
      <c r="G940" s="150"/>
      <c r="H940" s="25"/>
      <c r="I940" s="25"/>
      <c r="K940" s="25">
        <v>37</v>
      </c>
      <c r="L940" s="25"/>
      <c r="M940" s="192" t="str">
        <f>HYPERLINK("https://www.youtube.com/watch?v=F0hmrbOW8nw","Watch - Thinking - Problem Abstraction ")</f>
        <v xml:space="preserve">Watch - Thinking - Problem Abstraction </v>
      </c>
      <c r="N940" s="192"/>
      <c r="O940" s="96"/>
      <c r="P940" s="96"/>
    </row>
    <row r="941" spans="1:16" ht="13">
      <c r="A941" s="65"/>
      <c r="B941" s="65"/>
      <c r="C941" s="4"/>
      <c r="D941" s="4"/>
      <c r="E941" s="4"/>
      <c r="F941" s="4"/>
      <c r="G941" s="148"/>
      <c r="H941" s="25"/>
      <c r="I941" s="25"/>
      <c r="K941" s="25">
        <v>38</v>
      </c>
      <c r="L941" s="25"/>
      <c r="M941" s="192" t="str">
        <f>HYPERLINK("https://www.youtube.com/watch?v=0wlc8Rhyybo","Watch - Thinking - Problem Reverse")</f>
        <v>Watch - Thinking - Problem Reverse</v>
      </c>
      <c r="N941" s="192"/>
      <c r="O941" s="96"/>
      <c r="P941" s="151"/>
    </row>
    <row r="942" spans="1:16" ht="13">
      <c r="A942" s="65"/>
      <c r="B942" s="65"/>
      <c r="C942" s="4"/>
      <c r="D942" s="4"/>
      <c r="E942" s="4"/>
      <c r="F942" s="4"/>
      <c r="G942" s="150">
        <v>3</v>
      </c>
      <c r="H942" s="25"/>
      <c r="I942" s="25"/>
      <c r="K942" s="25">
        <v>39</v>
      </c>
      <c r="L942" s="25"/>
      <c r="M942" s="192" t="str">
        <f>HYPERLINK("https://www.youtube.com/watch?v=hLXVhRzqq18","Watch - Search Techniques - Backtracking")</f>
        <v>Watch - Search Techniques - Backtracking</v>
      </c>
      <c r="N942" s="192"/>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2" t="str">
        <f>HYPERLINK("https://www.youtube.com/watch?v=vAqaki1BhS0","Watch - DP - Subset Style")</f>
        <v>Watch - DP - Subset Style</v>
      </c>
      <c r="N944" s="192"/>
      <c r="O944" s="96"/>
      <c r="P944" s="151"/>
    </row>
    <row r="945" spans="1:17" ht="13">
      <c r="A945" s="65"/>
      <c r="B945" s="65"/>
      <c r="C945" s="4"/>
      <c r="D945" s="4"/>
      <c r="E945" s="4"/>
      <c r="F945" s="4"/>
      <c r="G945" s="150">
        <v>32</v>
      </c>
      <c r="H945" s="25"/>
      <c r="I945" s="25"/>
      <c r="K945" s="25">
        <v>42</v>
      </c>
      <c r="L945" s="25"/>
      <c r="M945" s="192" t="str">
        <f>HYPERLINK("https://www.youtube.com/watch?v=bDlAqeWsKsg","Watch - DP - Consecutive Ranges Style")</f>
        <v>Watch - DP - Consecutive Ranges Style</v>
      </c>
      <c r="N945" s="192"/>
      <c r="O945" s="96"/>
      <c r="P945" s="96"/>
    </row>
    <row r="946" spans="1:17" ht="13">
      <c r="A946" s="65"/>
      <c r="B946" s="65"/>
      <c r="C946" s="4"/>
      <c r="D946" s="4"/>
      <c r="E946" s="4"/>
      <c r="F946" s="4"/>
      <c r="G946" s="150">
        <v>32</v>
      </c>
      <c r="H946" s="25"/>
      <c r="I946" s="25"/>
      <c r="K946" s="25">
        <v>43</v>
      </c>
      <c r="L946" s="25"/>
      <c r="M946" s="192" t="str">
        <f>HYPERLINK("https://www.youtube.com/watch?v=b4AC2jGNGEM","Watch - DP - Nested Ranges Style")</f>
        <v>Watch - DP - Nested Ranges Style</v>
      </c>
      <c r="N946" s="192"/>
      <c r="O946" s="96"/>
      <c r="P946" s="142"/>
    </row>
    <row r="947" spans="1:17" ht="13">
      <c r="A947" s="65"/>
      <c r="B947" s="65"/>
      <c r="C947" s="4"/>
      <c r="D947" s="4"/>
      <c r="E947" s="4"/>
      <c r="F947" s="4"/>
      <c r="G947" s="150">
        <v>32</v>
      </c>
      <c r="H947" s="25"/>
      <c r="I947" s="25"/>
      <c r="K947" s="25">
        <v>44</v>
      </c>
      <c r="L947" s="25"/>
      <c r="M947" s="192" t="str">
        <f>HYPERLINK("https://www.youtube.com/watch?v=pJbeTrSKl3Y","Watch - DP - General Ranges Style")</f>
        <v>Watch - DP - General Ranges Style</v>
      </c>
      <c r="N947" s="192"/>
      <c r="O947" s="96"/>
      <c r="P947" s="152"/>
    </row>
    <row r="948" spans="1:17" ht="13">
      <c r="A948" s="65"/>
      <c r="B948" s="65"/>
      <c r="C948" s="4"/>
      <c r="D948" s="4"/>
      <c r="E948" s="4"/>
      <c r="F948" s="4"/>
      <c r="G948" s="150"/>
      <c r="H948" s="25"/>
      <c r="I948" s="25"/>
      <c r="K948" s="25">
        <v>45</v>
      </c>
      <c r="L948" s="25"/>
      <c r="M948" s="192" t="str">
        <f>HYPERLINK("https://www.youtube.com/watch?v=5zILiqyQ2ts","Watch - Thinking - Incrementally")</f>
        <v>Watch - Thinking - Incrementally</v>
      </c>
      <c r="N948" s="192"/>
      <c r="O948" s="96"/>
      <c r="P948" s="96"/>
    </row>
    <row r="949" spans="1:17" ht="13">
      <c r="A949" s="65"/>
      <c r="B949" s="65"/>
      <c r="C949" s="4"/>
      <c r="D949" s="4"/>
      <c r="E949" s="4"/>
      <c r="F949" s="4"/>
      <c r="G949" s="150"/>
      <c r="H949" s="25"/>
      <c r="I949" s="25"/>
      <c r="K949" s="25">
        <v>46</v>
      </c>
      <c r="L949" s="25"/>
      <c r="M949" s="192" t="str">
        <f>HYPERLINK("https://www.youtube.com/watch?v=9fwHOeebIgc","Watch - Thinking - Problem Domain re-interpretation")</f>
        <v>Watch - Thinking - Problem Domain re-interpretation</v>
      </c>
      <c r="N949" s="192"/>
      <c r="O949" s="96"/>
      <c r="P949" s="96"/>
    </row>
    <row r="950" spans="1:17" ht="13">
      <c r="A950" s="65"/>
      <c r="B950" s="65"/>
      <c r="C950" s="4"/>
      <c r="D950" s="4"/>
      <c r="E950" s="4"/>
      <c r="F950" s="4"/>
      <c r="G950" s="150">
        <v>95</v>
      </c>
      <c r="H950" s="25"/>
      <c r="I950" s="25"/>
      <c r="K950" s="25">
        <v>47</v>
      </c>
      <c r="L950" s="25"/>
      <c r="M950" s="192" t="str">
        <f>HYPERLINK("https://www.youtube.com/watch?v=-5ApOQDhBtU","Watch - Number Theory - Factorization")</f>
        <v>Watch - Number Theory - Factorization</v>
      </c>
      <c r="N950" s="192"/>
      <c r="O950" s="96"/>
      <c r="P950" s="96"/>
    </row>
    <row r="951" spans="1:17" ht="13">
      <c r="A951" s="65"/>
      <c r="B951" s="65"/>
      <c r="C951" s="4"/>
      <c r="D951" s="4"/>
      <c r="E951" s="4"/>
      <c r="F951" s="4"/>
      <c r="G951" s="148">
        <v>113</v>
      </c>
      <c r="H951" s="25"/>
      <c r="I951" s="25"/>
      <c r="K951" s="25">
        <v>48</v>
      </c>
      <c r="L951" s="25"/>
      <c r="M951" s="190" t="str">
        <f>HYPERLINK("https://www.youtube.com/playlist?list=PLC58778F28211FA19","Watch - Probability - First 9 videos")</f>
        <v>Watch - Probability - First 9 videos</v>
      </c>
      <c r="N951" s="190"/>
      <c r="O951" s="96"/>
      <c r="P951" s="151"/>
    </row>
    <row r="952" spans="1:17" ht="13">
      <c r="A952" s="65"/>
      <c r="B952" s="65"/>
      <c r="C952" s="4"/>
      <c r="D952" s="4"/>
      <c r="E952" s="4"/>
      <c r="F952" s="4"/>
      <c r="G952" s="150"/>
      <c r="H952" s="25"/>
      <c r="I952" s="25"/>
      <c r="K952" s="25">
        <v>49</v>
      </c>
      <c r="L952" s="25"/>
      <c r="M952" s="192" t="str">
        <f>HYPERLINK("https://www.youtube.com/watch?v=YUIwEX8UEN0","Watch - Thinking - Search Space and Output Analysis")</f>
        <v>Watch - Thinking - Search Space and Output Analysis</v>
      </c>
      <c r="N952" s="192"/>
      <c r="O952" s="96"/>
      <c r="P952" s="96"/>
      <c r="Q952" s="96"/>
    </row>
    <row r="953" spans="1:17" ht="13">
      <c r="A953" s="65"/>
      <c r="B953" s="65"/>
      <c r="C953" s="4"/>
      <c r="D953" s="4"/>
      <c r="E953" s="4"/>
      <c r="F953" s="4"/>
      <c r="G953" s="150"/>
      <c r="H953" s="25"/>
      <c r="I953" s="25"/>
      <c r="K953" s="25">
        <v>50</v>
      </c>
      <c r="L953" s="25"/>
      <c r="M953" s="192" t="str">
        <f>HYPERLINK("https://www.youtube.com/watch?v=TP8QXP6PBqM","Watch - Thinking - Observations Discovery ")</f>
        <v xml:space="preserve">Watch - Thinking - Observations Discovery </v>
      </c>
      <c r="N953" s="192"/>
      <c r="O953" s="96"/>
      <c r="P953" s="142"/>
      <c r="Q953" s="142"/>
    </row>
    <row r="954" spans="1:17" ht="13">
      <c r="A954" s="65"/>
      <c r="B954" s="65"/>
      <c r="C954" s="4"/>
      <c r="D954" s="4"/>
      <c r="E954" s="4"/>
      <c r="F954" s="4"/>
      <c r="G954" s="150">
        <v>41</v>
      </c>
      <c r="H954" s="25"/>
      <c r="I954" s="25"/>
      <c r="K954" s="25">
        <v>51</v>
      </c>
      <c r="L954" s="25"/>
      <c r="M954" s="192" t="str">
        <f>HYPERLINK("https://www.youtube.com/watch?v=rdUs4FGkgRo","Watch - Game Theory - Intro")</f>
        <v>Watch - Game Theory - Intro</v>
      </c>
      <c r="N954" s="192"/>
      <c r="O954" s="96"/>
      <c r="P954" s="142"/>
      <c r="Q954" s="142"/>
    </row>
    <row r="955" spans="1:17" ht="13">
      <c r="A955" s="65"/>
      <c r="B955" s="65"/>
      <c r="C955" s="4"/>
      <c r="D955" s="4"/>
      <c r="E955" s="4"/>
      <c r="F955" s="4"/>
      <c r="G955" s="150"/>
      <c r="H955" s="25"/>
      <c r="I955" s="25"/>
      <c r="K955" s="25">
        <v>52</v>
      </c>
      <c r="L955" s="25"/>
      <c r="M955" s="192" t="str">
        <f>HYPERLINK("https://www.youtube.com/watch?v=fT4JZU5hO58","Watch - Thinking - Misc - Solution Verification - Implementation")</f>
        <v>Watch - Thinking - Misc - Solution Verification - Implementation</v>
      </c>
      <c r="N955" s="192"/>
      <c r="O955" s="96"/>
      <c r="P955" s="96"/>
      <c r="Q955" s="96"/>
    </row>
    <row r="956" spans="1:17" ht="13">
      <c r="A956" s="65"/>
      <c r="B956" s="65"/>
      <c r="C956" s="4"/>
      <c r="D956" s="4"/>
      <c r="E956" s="4"/>
      <c r="F956" s="4"/>
      <c r="G956" s="150">
        <v>64</v>
      </c>
      <c r="H956" s="25"/>
      <c r="I956" s="25"/>
      <c r="K956" s="25">
        <v>53</v>
      </c>
      <c r="L956" s="25"/>
      <c r="M956" s="192" t="str">
        <f>HYPERLINK("https://www.youtube.com/watch?v=6GzxGabB5MI","Watch - Graph Theory - Dijkstra")</f>
        <v>Watch - Graph Theory - Dijkstra</v>
      </c>
      <c r="N956" s="192"/>
      <c r="O956" s="96"/>
      <c r="P956" s="46"/>
      <c r="Q956" s="46"/>
    </row>
    <row r="957" spans="1:17" ht="13">
      <c r="A957" s="65"/>
      <c r="B957" s="65"/>
      <c r="C957" s="4"/>
      <c r="D957" s="4"/>
      <c r="E957" s="4"/>
      <c r="F957" s="4"/>
      <c r="G957" s="150">
        <v>48</v>
      </c>
      <c r="H957" s="25"/>
      <c r="I957" s="25"/>
      <c r="K957" s="25">
        <v>54</v>
      </c>
      <c r="L957" s="25"/>
      <c r="M957" s="192" t="str">
        <f>HYPERLINK("https://www.youtube.com/watch?v=k5fDfC9vfWM","Watch - Computational Geometry - Lines Intersections")</f>
        <v>Watch - Computational Geometry - Lines Intersections</v>
      </c>
      <c r="N957" s="192"/>
      <c r="O957" s="96"/>
      <c r="P957" s="96"/>
      <c r="Q957" s="96"/>
    </row>
    <row r="958" spans="1:17" ht="13">
      <c r="A958" s="65"/>
      <c r="B958" s="65"/>
      <c r="C958" s="4"/>
      <c r="D958" s="4"/>
      <c r="E958" s="4"/>
      <c r="F958" s="4"/>
      <c r="G958" s="150">
        <v>47</v>
      </c>
      <c r="H958" s="25"/>
      <c r="I958" s="25"/>
      <c r="K958" s="25">
        <v>55</v>
      </c>
      <c r="L958" s="25"/>
      <c r="M958" s="192" t="str">
        <f>HYPERLINK("https://www.youtube.com/watch?v=Fa69kqT9NPY","Watch - Computational Geometry - Circles")</f>
        <v>Watch - Computational Geometry - Circles</v>
      </c>
      <c r="N958" s="192"/>
      <c r="O958" s="96"/>
      <c r="P958" s="142"/>
      <c r="Q958" s="142"/>
    </row>
    <row r="959" spans="1:17" ht="13">
      <c r="A959" s="65"/>
      <c r="B959" s="65"/>
      <c r="C959" s="4"/>
      <c r="D959" s="4"/>
      <c r="E959" s="4"/>
      <c r="F959" s="4"/>
      <c r="G959" s="150"/>
      <c r="H959" s="25"/>
      <c r="I959" s="25"/>
      <c r="K959" s="25">
        <v>56</v>
      </c>
      <c r="L959" s="25"/>
      <c r="M959" s="192" t="str">
        <f>HYPERLINK("https://www.youtube.com/watch?v=uKSLJw0ZUd8","Watch - Thinking - Error Inspection - History - Contest Strategy ")</f>
        <v xml:space="preserve">Watch - Thinking - Error Inspection - History - Contest Strategy </v>
      </c>
      <c r="N959" s="192"/>
      <c r="O959" s="96"/>
      <c r="P959" s="96"/>
    </row>
    <row r="960" spans="1:17" ht="13">
      <c r="A960" s="65"/>
      <c r="B960" s="65"/>
      <c r="C960" s="4"/>
      <c r="D960" s="4"/>
      <c r="E960" s="4"/>
      <c r="F960" s="4"/>
      <c r="G960" s="150">
        <v>15</v>
      </c>
      <c r="H960" s="25"/>
      <c r="I960" s="25"/>
      <c r="K960" s="25">
        <v>57</v>
      </c>
      <c r="L960" s="25"/>
      <c r="M960" s="192" t="str">
        <f>HYPERLINK("https://www.youtube.com/watch?v=s3IGwpJwCTA","Watch - DP - Building Output")</f>
        <v>Watch - DP - Building Output</v>
      </c>
      <c r="N960" s="192"/>
      <c r="O960" s="96"/>
      <c r="P960" s="96"/>
    </row>
    <row r="961" spans="1:17" ht="13">
      <c r="A961" s="65"/>
      <c r="B961" s="65"/>
      <c r="C961" s="4"/>
      <c r="D961" s="4"/>
      <c r="E961" s="4"/>
      <c r="F961" s="4"/>
      <c r="G961" s="150">
        <v>18</v>
      </c>
      <c r="H961" s="25"/>
      <c r="I961" s="25"/>
      <c r="K961" s="25">
        <v>58</v>
      </c>
      <c r="L961" s="25"/>
      <c r="M961" s="192" t="str">
        <f>HYPERLINK("https://www.youtube.com/watch?v=lE09Ss_Sy0A","Watch - DP - Counting")</f>
        <v>Watch - DP - Counting</v>
      </c>
      <c r="N961" s="192"/>
      <c r="O961" s="96"/>
      <c r="P961" s="46"/>
    </row>
    <row r="962" spans="1:17" ht="13">
      <c r="A962" s="65"/>
      <c r="B962" s="65"/>
      <c r="C962" s="4"/>
      <c r="D962" s="4"/>
      <c r="E962" s="4"/>
      <c r="F962" s="4"/>
      <c r="G962" s="150"/>
      <c r="H962" s="25"/>
      <c r="I962" s="25"/>
      <c r="K962" s="25">
        <v>59</v>
      </c>
      <c r="L962" s="25"/>
      <c r="M962" s="192" t="str">
        <f>HYPERLINK("https://www.youtube.com/watch?v=f_lt366qTZc","Watch - Thinking - Let's Put All Together ")</f>
        <v xml:space="preserve">Watch - Thinking - Let's Put All Together </v>
      </c>
      <c r="N962" s="192"/>
      <c r="O962" s="96"/>
      <c r="P962" s="96"/>
      <c r="Q962" s="96"/>
    </row>
    <row r="963" spans="1:17" ht="13">
      <c r="A963" s="65"/>
      <c r="B963" s="65"/>
      <c r="C963" s="4"/>
      <c r="D963" s="4"/>
      <c r="E963" s="4"/>
      <c r="F963" s="4"/>
      <c r="G963" s="150">
        <v>37</v>
      </c>
      <c r="H963" s="25"/>
      <c r="I963" s="25"/>
      <c r="K963" s="25">
        <v>60</v>
      </c>
      <c r="L963" s="25"/>
      <c r="M963" s="192" t="str">
        <f>HYPERLINK("https://www.youtube.com/watch?v=PrXbn8-zw14","Watch - DP - Table Method")</f>
        <v>Watch - DP - Table Method</v>
      </c>
      <c r="N963" s="192"/>
      <c r="O963" s="96"/>
      <c r="P963" s="96"/>
      <c r="Q963" s="96"/>
    </row>
    <row r="964" spans="1:17" ht="13">
      <c r="A964" s="65"/>
      <c r="B964" s="65"/>
      <c r="C964" s="4"/>
      <c r="D964" s="4"/>
      <c r="E964" s="4"/>
      <c r="F964" s="4"/>
      <c r="G964" s="150">
        <v>68</v>
      </c>
      <c r="H964" s="25"/>
      <c r="I964" s="25"/>
      <c r="K964" s="25">
        <v>61</v>
      </c>
      <c r="L964" s="25"/>
      <c r="M964" s="192" t="str">
        <f>HYPERLINK("https://www.youtube.com/watch?v=ZIJLCVn4KzQ","Watch - Graph Theory - Floyd Warshal")</f>
        <v>Watch - Graph Theory - Floyd Warshal</v>
      </c>
      <c r="N964" s="192"/>
      <c r="O964" s="96"/>
      <c r="P964" s="96"/>
      <c r="Q964" s="96"/>
    </row>
    <row r="965" spans="1:17" ht="13">
      <c r="A965" s="65"/>
      <c r="B965" s="65"/>
      <c r="C965" s="4"/>
      <c r="D965" s="4"/>
      <c r="E965" s="4"/>
      <c r="F965" s="4"/>
      <c r="G965" s="150"/>
      <c r="H965" s="25"/>
      <c r="I965" s="25"/>
      <c r="K965" s="25">
        <v>62</v>
      </c>
      <c r="L965" s="25"/>
      <c r="M965" s="192" t="str">
        <f>HYPERLINK("https://www.youtube.com/watch?v=ZNYQrKpR42g","Watch - Measuring Algorithms Perfromance - 2")</f>
        <v>Watch - Measuring Algorithms Perfromance - 2</v>
      </c>
      <c r="N965" s="192"/>
      <c r="O965" s="96"/>
      <c r="P965" s="96"/>
      <c r="Q965" s="96"/>
    </row>
    <row r="966" spans="1:17" ht="13">
      <c r="A966" s="65"/>
      <c r="B966" s="65"/>
      <c r="C966" s="4"/>
      <c r="D966" s="4"/>
      <c r="E966" s="4"/>
      <c r="F966" s="4"/>
      <c r="G966" s="150">
        <v>62</v>
      </c>
      <c r="H966" s="25"/>
      <c r="I966" s="25"/>
      <c r="K966" s="25">
        <v>63</v>
      </c>
      <c r="L966" s="25"/>
      <c r="M966" s="190" t="str">
        <f>HYPERLINK("https://www.youtube.com/watch?v=RASvnfG2SSE","Watch - Graph Theory - Tree Diameter and Isomorphism")</f>
        <v>Watch - Graph Theory - Tree Diameter and Isomorphism</v>
      </c>
      <c r="N966" s="190"/>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89" t="str">
        <f>HYPERLINK("https://www.youtube.com/watch?v=OLu5oskGGqw&amp;list=PLPt2dINI2MIZX2EtY81WI-lDkvhKziLKM&amp;index=11","Watch - Data Structures - Segment Tree (2 vid)")</f>
        <v>Watch - Data Structures - Segment Tree (2 vid)</v>
      </c>
      <c r="N968" s="189"/>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1" t="str">
        <f>HYPERLINK("https://www.youtube.com/watch?v=n-Xwrr8RFQ0","Watch - Two pointers technique")</f>
        <v>Watch - Two pointers technique</v>
      </c>
      <c r="N970" s="191"/>
      <c r="O970" s="96"/>
      <c r="P970" s="96"/>
      <c r="Q970" s="96"/>
    </row>
    <row r="971" spans="1:17" ht="13">
      <c r="A971" s="65"/>
      <c r="B971" s="65"/>
      <c r="C971" s="4"/>
      <c r="D971" s="4"/>
      <c r="E971" s="4"/>
      <c r="F971" s="4"/>
      <c r="G971" s="150">
        <v>29</v>
      </c>
      <c r="H971" s="25"/>
      <c r="I971" s="25"/>
      <c r="K971" s="25">
        <v>68</v>
      </c>
      <c r="L971" s="25"/>
      <c r="M971" s="191" t="str">
        <f>HYPERLINK("https://www.youtube.com/watch?v=nv6Z6n02Oi0","Watch - DP - Probability")</f>
        <v>Watch - DP - Probability</v>
      </c>
      <c r="N971" s="191"/>
      <c r="O971" s="96"/>
      <c r="P971" s="96"/>
      <c r="Q971" s="96"/>
    </row>
    <row r="972" spans="1:17" ht="13">
      <c r="A972" s="65"/>
      <c r="B972" s="65"/>
      <c r="C972" s="4"/>
      <c r="D972" s="4"/>
      <c r="E972" s="4"/>
      <c r="F972" s="4"/>
      <c r="G972" s="150">
        <v>11</v>
      </c>
      <c r="H972" s="25"/>
      <c r="I972" s="25"/>
      <c r="K972" s="25">
        <v>69</v>
      </c>
      <c r="L972" s="25"/>
      <c r="M972" s="191" t="str">
        <f>HYPERLINK("https://www.youtube.com/watch?v=8aATaY9sdeE&amp;index=10&amp;list=PLPt2dINI2MIattDutu7IOAMlUuLeN8k2p&amp;t=3s","Watch - DP - Masks (2 vid)")</f>
        <v>Watch - DP - Masks (2 vid)</v>
      </c>
      <c r="N972" s="191"/>
      <c r="O972" s="96"/>
      <c r="P972" s="96"/>
      <c r="Q972" s="96"/>
    </row>
    <row r="973" spans="1:17" ht="13">
      <c r="A973" s="65"/>
      <c r="B973" s="65"/>
      <c r="C973" s="4"/>
      <c r="D973" s="4"/>
      <c r="E973" s="4"/>
      <c r="F973" s="4"/>
      <c r="G973" s="150">
        <v>135</v>
      </c>
      <c r="H973" s="25"/>
      <c r="I973" s="25"/>
      <c r="K973" s="25">
        <v>70</v>
      </c>
      <c r="L973" s="25"/>
      <c r="M973" s="191" t="str">
        <f>HYPERLINK("https://www.youtube.com/watch?v=IGaJWl0jPY4","Watch - String Processing - Trie")</f>
        <v>Watch - String Processing - Trie</v>
      </c>
      <c r="N973" s="191"/>
      <c r="O973" s="96"/>
      <c r="P973" s="96"/>
      <c r="Q973" s="96"/>
    </row>
    <row r="974" spans="1:17" ht="13">
      <c r="A974" s="65"/>
      <c r="B974" s="65"/>
      <c r="C974" s="4"/>
      <c r="D974" s="4"/>
      <c r="E974" s="4"/>
      <c r="F974" s="4"/>
      <c r="G974" s="150">
        <v>36</v>
      </c>
      <c r="H974" s="25"/>
      <c r="I974" s="25"/>
      <c r="K974" s="25">
        <v>71</v>
      </c>
      <c r="L974" s="25"/>
      <c r="M974" s="190" t="str">
        <f>HYPERLINK("https://www.youtube.com/watch?v=t-52tQ3vEgo","Watch - DP - Sub-rectangle style")</f>
        <v>Watch - DP - Sub-rectangle style</v>
      </c>
      <c r="N974" s="190"/>
      <c r="O974" s="96"/>
      <c r="P974" s="96"/>
      <c r="Q974" s="96"/>
    </row>
    <row r="975" spans="1:17" ht="13">
      <c r="A975" s="65"/>
      <c r="B975" s="65"/>
      <c r="C975" s="4"/>
      <c r="D975" s="4"/>
      <c r="E975" s="4"/>
      <c r="F975" s="4"/>
      <c r="G975" s="150">
        <v>130</v>
      </c>
      <c r="H975" s="25"/>
      <c r="I975" s="25"/>
      <c r="K975" s="25">
        <v>72</v>
      </c>
      <c r="L975" s="25"/>
      <c r="M975" s="189" t="str">
        <f>HYPERLINK("https://www.youtube.com/watch?v=vjxLlFTKhrU&amp;index=2&amp;list=PLPt2dINI2MIYrtHBahPW16S-Wz9wx24Nc","Watch - String Processing - KMP (2 vid)")</f>
        <v>Watch - String Processing - KMP (2 vid)</v>
      </c>
      <c r="N975" s="189"/>
      <c r="O975" s="96"/>
      <c r="P975" s="96"/>
      <c r="Q975" s="96"/>
    </row>
    <row r="976" spans="1:17" ht="13">
      <c r="A976" s="65"/>
      <c r="B976" s="65"/>
      <c r="C976" s="4"/>
      <c r="D976" s="4"/>
      <c r="E976" s="4"/>
      <c r="F976" s="4"/>
      <c r="G976" s="148">
        <v>23</v>
      </c>
      <c r="H976" s="25"/>
      <c r="I976" s="25"/>
      <c r="K976" s="25">
        <v>73</v>
      </c>
      <c r="L976" s="25"/>
      <c r="M976" s="189" t="str">
        <f>HYPERLINK("https://www.youtube.com/watch?v=X-cMRvuTGuM&amp;list=PLPt2dINI2MIattDutu7IOAMlUuLeN8k2p&amp;index=19","Watch - DP - Games (2 vid)")</f>
        <v>Watch - DP - Games (2 vid)</v>
      </c>
      <c r="N976" s="189"/>
      <c r="O976" s="96"/>
      <c r="P976" s="125"/>
      <c r="Q976" s="125"/>
    </row>
    <row r="977" spans="1:17" ht="13">
      <c r="A977" s="4"/>
      <c r="B977" s="4"/>
      <c r="C977" s="4"/>
      <c r="D977" s="4"/>
      <c r="E977" s="4"/>
      <c r="F977" s="4"/>
      <c r="G977" s="148">
        <v>49</v>
      </c>
      <c r="H977" s="25"/>
      <c r="I977" s="25"/>
      <c r="K977" s="25">
        <v>74</v>
      </c>
      <c r="L977" s="25"/>
      <c r="M977" s="188" t="str">
        <f>HYPERLINK("https://www.youtube.com/watch?v=OnysyxVPPD0","Watch - Computational Geometry - Simple and Convex Polygons")</f>
        <v>Watch - Computational Geometry - Simple and Convex Polygons</v>
      </c>
      <c r="N977" s="188"/>
      <c r="O977" s="96"/>
      <c r="P977" s="110"/>
      <c r="Q977" s="4"/>
    </row>
    <row r="978" spans="1:17" ht="13">
      <c r="A978" s="65"/>
      <c r="B978" s="65"/>
      <c r="C978" s="4"/>
      <c r="D978" s="4"/>
      <c r="E978" s="4"/>
      <c r="F978" s="4"/>
      <c r="G978" s="150">
        <v>49</v>
      </c>
      <c r="H978" s="25"/>
      <c r="I978" s="25"/>
      <c r="K978" s="25">
        <v>75</v>
      </c>
      <c r="L978" s="25"/>
      <c r="M978" s="188" t="str">
        <f>HYPERLINK("http://w.youtube.com/watch?v=Cce_O7EKv2Y","Watch - Computational Geometry - Polygon Area - Centroid - Cut")</f>
        <v>Watch - Computational Geometry - Polygon Area - Centroid - Cut</v>
      </c>
      <c r="N978" s="188"/>
      <c r="O978" s="96"/>
      <c r="P978" s="96"/>
    </row>
    <row r="979" spans="1:17" ht="13">
      <c r="A979" s="65"/>
      <c r="B979" s="65"/>
      <c r="C979" s="4"/>
      <c r="D979" s="4"/>
      <c r="E979" s="4"/>
      <c r="F979" s="4"/>
      <c r="G979" s="150">
        <v>49</v>
      </c>
      <c r="H979" s="25"/>
      <c r="I979" s="25"/>
      <c r="K979" s="25">
        <v>76</v>
      </c>
      <c r="L979" s="25"/>
      <c r="M979" s="188" t="str">
        <f>HYPERLINK("https://www.youtube.com/watch?v=I5A6OYH1yuM","Watch - Computational Geometry - Point in polygon")</f>
        <v>Watch - Computational Geometry - Point in polygon</v>
      </c>
      <c r="N979" s="188"/>
      <c r="O979" s="96"/>
      <c r="P979" s="96"/>
    </row>
    <row r="980" spans="1:17" ht="13">
      <c r="A980" s="65"/>
      <c r="B980" s="65"/>
      <c r="C980" s="4"/>
      <c r="D980" s="4"/>
      <c r="E980" s="4"/>
      <c r="F980" s="4"/>
      <c r="G980" s="150" t="s">
        <v>1799</v>
      </c>
      <c r="H980" s="25"/>
      <c r="I980" s="25"/>
      <c r="K980" s="25">
        <v>77</v>
      </c>
      <c r="L980" s="25"/>
      <c r="M980" s="189" t="str">
        <f>HYPERLINK("https://www.youtube.com/watch?v=QuOiEwefssM&amp;t=2s&amp;list=PLPt2dINI2MIb4OXlJ_EEwIDV9WVUpRQ5K&amp;index=16","Watch - Graph Theory - Maximum Flow (2 vid)")</f>
        <v>Watch - Graph Theory - Maximum Flow (2 vid)</v>
      </c>
      <c r="N980" s="189"/>
      <c r="O980" s="96"/>
      <c r="P980" s="96"/>
    </row>
    <row r="981" spans="1:17" ht="13">
      <c r="A981" s="65"/>
      <c r="B981" s="65"/>
      <c r="C981" s="4"/>
      <c r="D981" s="4"/>
      <c r="E981" s="4"/>
      <c r="F981" s="4"/>
      <c r="G981" s="150">
        <v>77</v>
      </c>
      <c r="H981" s="25"/>
      <c r="I981" s="25"/>
      <c r="K981" s="25">
        <v>78</v>
      </c>
      <c r="L981" s="25"/>
      <c r="M981" s="189" t="str">
        <f>HYPERLINK("https://www.youtube.com/watch?v=xVMe4JSEQo0&amp;index=14&amp;list=PLPt2dINI2MIb4OXlJ_EEwIDV9WVUpRQ5K","Watch - Graph Theory - SCC (2 vid)")</f>
        <v>Watch - Graph Theory - SCC (2 vid)</v>
      </c>
      <c r="N981" s="189"/>
      <c r="O981" s="96"/>
      <c r="P981" s="96"/>
    </row>
  </sheetData>
  <mergeCells count="80">
    <mergeCell ref="C3:M3"/>
    <mergeCell ref="C4:M4"/>
    <mergeCell ref="C5:M5"/>
    <mergeCell ref="G903:J903"/>
    <mergeCell ref="K903:L903"/>
    <mergeCell ref="M903:N903"/>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9:N979"/>
    <mergeCell ref="M980:N980"/>
    <mergeCell ref="M981:N981"/>
    <mergeCell ref="M974:N974"/>
    <mergeCell ref="M975:N975"/>
    <mergeCell ref="M976:N976"/>
    <mergeCell ref="M977:N977"/>
    <mergeCell ref="M978:N978"/>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2026-06-02T09:11:35Z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